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ADA" sheetId="1" state="visible" r:id="rId1"/>
    <sheet xmlns:r="http://schemas.openxmlformats.org/officeDocument/2006/relationships" name="PARTICIPANTES" sheetId="2" state="visible" r:id="rId2"/>
    <sheet xmlns:r="http://schemas.openxmlformats.org/officeDocument/2006/relationships" name="PARTIDOS" sheetId="3" state="visible" r:id="rId3"/>
    <sheet xmlns:r="http://schemas.openxmlformats.org/officeDocument/2006/relationships" name="RESULTADOS" sheetId="4" state="visible" r:id="rId4"/>
    <sheet xmlns:r="http://schemas.openxmlformats.org/officeDocument/2006/relationships" name="PRONÓSTICOS" sheetId="5" state="visible" r:id="rId5"/>
    <sheet xmlns:r="http://schemas.openxmlformats.org/officeDocument/2006/relationships" name="PUNTAJES" sheetId="6" state="visible" r:id="rId6"/>
    <sheet xmlns:r="http://schemas.openxmlformats.org/officeDocument/2006/relationships" name="CLASIFICACIÓ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"/>
      <b val="1"/>
      <color rgb="00D4AA00"/>
      <sz val="22"/>
    </font>
    <font>
      <name val="Arial"/>
      <i val="1"/>
      <color rgb="002E7D52"/>
      <sz val="12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b val="1"/>
      <color rgb="001B5E3B"/>
      <sz val="10"/>
    </font>
    <font>
      <name val="Arial"/>
      <color rgb="001A1D23"/>
      <sz val="10"/>
    </font>
    <font>
      <name val="Arial"/>
      <b val="1"/>
      <color rgb="001A1D23"/>
      <sz val="10"/>
    </font>
    <font>
      <name val="Arial"/>
      <b val="1"/>
      <color rgb="001B5E3B"/>
      <sz val="12"/>
    </font>
    <font>
      <name val="Arial"/>
      <b val="1"/>
      <color rgb="00FFFFFF"/>
      <sz val="14"/>
    </font>
    <font>
      <name val="Arial"/>
      <b val="1"/>
      <color rgb="00D4AA00"/>
      <sz val="10"/>
    </font>
    <font>
      <name val="Arial"/>
      <i val="1"/>
      <color rgb="00C0392B"/>
      <sz val="10"/>
    </font>
    <font>
      <name val="Arial"/>
      <b val="1"/>
      <color rgb="00FFFFFF"/>
      <sz val="10"/>
    </font>
    <font>
      <name val="Arial"/>
      <b val="1"/>
      <color rgb="00C0392B"/>
      <sz val="14"/>
    </font>
    <font>
      <name val="Arial"/>
      <i val="1"/>
      <color rgb="001B5E3B"/>
      <sz val="10"/>
    </font>
    <font>
      <name val="Arial"/>
      <b val="1"/>
      <color rgb="001B5E3B"/>
      <sz val="13"/>
    </font>
    <font>
      <name val="Arial"/>
      <b val="1"/>
      <color rgb="00D4AA00"/>
      <sz val="16"/>
    </font>
    <font>
      <name val="Arial"/>
      <b val="1"/>
      <color rgb="00D4AA00"/>
      <sz val="11"/>
    </font>
    <font>
      <name val="Arial"/>
      <color rgb="001A1D23"/>
      <sz val="11"/>
    </font>
    <font>
      <name val="Arial"/>
      <b val="1"/>
      <color rgb="001A1D23"/>
      <sz val="11"/>
    </font>
    <font>
      <name val="Arial"/>
      <b val="1"/>
      <color rgb="001B5E3B"/>
      <sz val="14"/>
    </font>
  </fonts>
  <fills count="28">
    <fill>
      <patternFill/>
    </fill>
    <fill>
      <patternFill patternType="gray125"/>
    </fill>
    <fill>
      <patternFill patternType="solid">
        <fgColor rgb="001B5E3B"/>
      </patternFill>
    </fill>
    <fill>
      <patternFill patternType="solid">
        <fgColor rgb="002E7D52"/>
      </patternFill>
    </fill>
    <fill>
      <patternFill patternType="solid">
        <fgColor rgb="00D4AA00"/>
      </patternFill>
    </fill>
    <fill>
      <patternFill patternType="solid">
        <fgColor rgb="00FFFFFF"/>
      </patternFill>
    </fill>
    <fill>
      <patternFill patternType="solid">
        <fgColor rgb="00F2F7F4"/>
      </patternFill>
    </fill>
    <fill>
      <patternFill patternType="solid">
        <fgColor rgb="00C8E6C9"/>
      </patternFill>
    </fill>
    <fill>
      <patternFill patternType="solid">
        <fgColor rgb="00DCEDC8"/>
      </patternFill>
    </fill>
    <fill>
      <patternFill patternType="solid">
        <fgColor rgb="00F0F4C3"/>
      </patternFill>
    </fill>
    <fill>
      <patternFill patternType="solid">
        <fgColor rgb="00FFF9C4"/>
      </patternFill>
    </fill>
    <fill>
      <patternFill patternType="solid">
        <fgColor rgb="00FFE0B2"/>
      </patternFill>
    </fill>
    <fill>
      <patternFill patternType="solid">
        <fgColor rgb="00FFCCBC"/>
      </patternFill>
    </fill>
    <fill>
      <patternFill patternType="solid">
        <fgColor rgb="00F8BBD0"/>
      </patternFill>
    </fill>
    <fill>
      <patternFill patternType="solid">
        <fgColor rgb="00E1BEE7"/>
      </patternFill>
    </fill>
    <fill>
      <patternFill patternType="solid">
        <fgColor rgb="00D1C4E9"/>
      </patternFill>
    </fill>
    <fill>
      <patternFill patternType="solid">
        <fgColor rgb="00BBDEFB"/>
      </patternFill>
    </fill>
    <fill>
      <patternFill patternType="solid">
        <fgColor rgb="00B3E5FC"/>
      </patternFill>
    </fill>
    <fill>
      <patternFill patternType="solid">
        <fgColor rgb="00B2EBF2"/>
      </patternFill>
    </fill>
    <fill>
      <patternFill patternType="solid">
        <fgColor rgb="00B2DFDB"/>
      </patternFill>
    </fill>
    <fill>
      <patternFill patternType="solid">
        <fgColor rgb="00F5F5F5"/>
      </patternFill>
    </fill>
    <fill>
      <patternFill patternType="solid">
        <fgColor rgb="00EFEBE9"/>
      </patternFill>
    </fill>
    <fill>
      <patternFill patternType="solid">
        <fgColor rgb="00C0392B"/>
      </patternFill>
    </fill>
    <fill>
      <patternFill patternType="solid">
        <fgColor rgb="00FDEDEC"/>
      </patternFill>
    </fill>
    <fill>
      <patternFill patternType="solid">
        <fgColor rgb="00FEF9F9"/>
      </patternFill>
    </fill>
    <fill>
      <patternFill patternType="solid">
        <fgColor rgb="00E8F5EE"/>
      </patternFill>
    </fill>
    <fill>
      <patternFill patternType="solid">
        <fgColor rgb="00FFF8D6"/>
      </patternFill>
    </fill>
    <fill>
      <patternFill patternType="solid">
        <fgColor rgb="00FFFDE7"/>
      </patternFill>
    </fill>
  </fills>
  <borders count="2">
    <border>
      <left/>
      <right/>
      <top/>
      <bottom/>
      <diagonal/>
    </border>
    <border>
      <left style="thin">
        <color rgb="00E2E5EC"/>
      </left>
      <right style="thin">
        <color rgb="00E2E5EC"/>
      </right>
      <top style="thin">
        <color rgb="00E2E5EC"/>
      </top>
      <bottom style="thin">
        <color rgb="00E2E5EC"/>
      </bottom>
    </border>
  </borders>
  <cellStyleXfs count="1">
    <xf numFmtId="0" fontId="0" fillId="0" borderId="0"/>
  </cellStyleXfs>
  <cellXfs count="8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applyAlignment="1" pivotButton="0" quotePrefix="0" xfId="0">
      <alignment horizontal="left" vertical="center" wrapText="1"/>
    </xf>
    <xf numFmtId="0" fontId="7" fillId="0" borderId="0" pivotButton="0" quotePrefix="0" xfId="0"/>
    <xf numFmtId="0" fontId="8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9" fillId="2" borderId="0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6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6" fillId="10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left" vertical="center"/>
    </xf>
    <xf numFmtId="0" fontId="6" fillId="11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left" vertical="center"/>
    </xf>
    <xf numFmtId="0" fontId="6" fillId="12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left" vertical="center"/>
    </xf>
    <xf numFmtId="0" fontId="6" fillId="13" borderId="1" applyAlignment="1" pivotButton="0" quotePrefix="0" xfId="0">
      <alignment horizontal="center" vertical="center"/>
    </xf>
    <xf numFmtId="0" fontId="5" fillId="13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left" vertical="center"/>
    </xf>
    <xf numFmtId="0" fontId="6" fillId="14" borderId="1" applyAlignment="1" pivotButton="0" quotePrefix="0" xfId="0">
      <alignment horizontal="center" vertical="center"/>
    </xf>
    <xf numFmtId="0" fontId="5" fillId="14" borderId="1" applyAlignment="1" pivotButton="0" quotePrefix="0" xfId="0">
      <alignment horizontal="center" vertical="center"/>
    </xf>
    <xf numFmtId="0" fontId="6" fillId="14" borderId="1" applyAlignment="1" pivotButton="0" quotePrefix="0" xfId="0">
      <alignment horizontal="left" vertical="center"/>
    </xf>
    <xf numFmtId="0" fontId="6" fillId="15" borderId="1" applyAlignment="1" pivotButton="0" quotePrefix="0" xfId="0">
      <alignment horizontal="center" vertical="center"/>
    </xf>
    <xf numFmtId="0" fontId="5" fillId="15" borderId="1" applyAlignment="1" pivotButton="0" quotePrefix="0" xfId="0">
      <alignment horizontal="center" vertical="center"/>
    </xf>
    <xf numFmtId="0" fontId="6" fillId="15" borderId="1" applyAlignment="1" pivotButton="0" quotePrefix="0" xfId="0">
      <alignment horizontal="left" vertical="center"/>
    </xf>
    <xf numFmtId="0" fontId="6" fillId="16" borderId="1" applyAlignment="1" pivotButton="0" quotePrefix="0" xfId="0">
      <alignment horizontal="center" vertical="center"/>
    </xf>
    <xf numFmtId="0" fontId="5" fillId="16" borderId="1" applyAlignment="1" pivotButton="0" quotePrefix="0" xfId="0">
      <alignment horizontal="center" vertical="center"/>
    </xf>
    <xf numFmtId="0" fontId="6" fillId="16" borderId="1" applyAlignment="1" pivotButton="0" quotePrefix="0" xfId="0">
      <alignment horizontal="left" vertical="center"/>
    </xf>
    <xf numFmtId="0" fontId="6" fillId="17" borderId="1" applyAlignment="1" pivotButton="0" quotePrefix="0" xfId="0">
      <alignment horizontal="center" vertical="center"/>
    </xf>
    <xf numFmtId="0" fontId="5" fillId="17" borderId="1" applyAlignment="1" pivotButton="0" quotePrefix="0" xfId="0">
      <alignment horizontal="center" vertical="center"/>
    </xf>
    <xf numFmtId="0" fontId="6" fillId="17" borderId="1" applyAlignment="1" pivotButton="0" quotePrefix="0" xfId="0">
      <alignment horizontal="left" vertical="center"/>
    </xf>
    <xf numFmtId="0" fontId="6" fillId="18" borderId="1" applyAlignment="1" pivotButton="0" quotePrefix="0" xfId="0">
      <alignment horizontal="center" vertical="center"/>
    </xf>
    <xf numFmtId="0" fontId="5" fillId="18" borderId="1" applyAlignment="1" pivotButton="0" quotePrefix="0" xfId="0">
      <alignment horizontal="center" vertical="center"/>
    </xf>
    <xf numFmtId="0" fontId="6" fillId="18" borderId="1" applyAlignment="1" pivotButton="0" quotePrefix="0" xfId="0">
      <alignment horizontal="left" vertical="center"/>
    </xf>
    <xf numFmtId="0" fontId="6" fillId="19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6" fillId="19" borderId="1" applyAlignment="1" pivotButton="0" quotePrefix="0" xfId="0">
      <alignment horizontal="left" vertical="center"/>
    </xf>
    <xf numFmtId="0" fontId="6" fillId="20" borderId="1" applyAlignment="1" pivotButton="0" quotePrefix="0" xfId="0">
      <alignment horizontal="center" vertical="center"/>
    </xf>
    <xf numFmtId="0" fontId="5" fillId="20" borderId="1" applyAlignment="1" pivotButton="0" quotePrefix="0" xfId="0">
      <alignment horizontal="center" vertical="center"/>
    </xf>
    <xf numFmtId="0" fontId="6" fillId="20" borderId="1" applyAlignment="1" pivotButton="0" quotePrefix="0" xfId="0">
      <alignment horizontal="left" vertical="center"/>
    </xf>
    <xf numFmtId="0" fontId="6" fillId="21" borderId="1" applyAlignment="1" pivotButton="0" quotePrefix="0" xfId="0">
      <alignment horizontal="center" vertical="center"/>
    </xf>
    <xf numFmtId="0" fontId="5" fillId="21" borderId="1" applyAlignment="1" pivotButton="0" quotePrefix="0" xfId="0">
      <alignment horizontal="center" vertical="center"/>
    </xf>
    <xf numFmtId="0" fontId="6" fillId="21" borderId="1" applyAlignment="1" pivotButton="0" quotePrefix="0" xfId="0">
      <alignment horizontal="left" vertical="center"/>
    </xf>
    <xf numFmtId="0" fontId="3" fillId="22" borderId="0" applyAlignment="1" pivotButton="0" quotePrefix="0" xfId="0">
      <alignment horizontal="center" vertical="center"/>
    </xf>
    <xf numFmtId="0" fontId="11" fillId="23" borderId="0" applyAlignment="1" pivotButton="0" quotePrefix="0" xfId="0">
      <alignment horizontal="left" vertical="center"/>
    </xf>
    <xf numFmtId="0" fontId="12" fillId="22" borderId="1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  <xf numFmtId="0" fontId="6" fillId="24" borderId="1" applyAlignment="1" pivotButton="0" quotePrefix="0" xfId="0">
      <alignment horizontal="center" vertical="center"/>
    </xf>
    <xf numFmtId="0" fontId="13" fillId="24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14" fillId="25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 vertical="center"/>
    </xf>
    <xf numFmtId="0" fontId="15" fillId="4" borderId="0" applyAlignment="1" pivotButton="0" quotePrefix="0" xfId="0">
      <alignment horizontal="center" vertical="center"/>
    </xf>
    <xf numFmtId="0" fontId="5" fillId="26" borderId="1" applyAlignment="1" pivotButton="0" quotePrefix="0" xfId="0">
      <alignment horizontal="center" vertical="center"/>
    </xf>
    <xf numFmtId="0" fontId="6" fillId="27" borderId="1" applyAlignment="1" pivotButton="0" quotePrefix="0" xfId="0">
      <alignment horizontal="center" vertical="center"/>
    </xf>
    <xf numFmtId="0" fontId="16" fillId="2" borderId="0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/>
    </xf>
    <xf numFmtId="0" fontId="8" fillId="26" borderId="1" applyAlignment="1" pivotButton="0" quotePrefix="0" xfId="0">
      <alignment horizontal="center" vertical="center"/>
    </xf>
    <xf numFmtId="0" fontId="8" fillId="26" borderId="1" applyAlignment="1" pivotButton="0" quotePrefix="0" xfId="0">
      <alignment horizontal="left" vertical="center"/>
    </xf>
    <xf numFmtId="0" fontId="18" fillId="6" borderId="1" applyAlignment="1" pivotButton="0" quotePrefix="0" xfId="0">
      <alignment horizontal="center" vertical="center"/>
    </xf>
    <xf numFmtId="0" fontId="18" fillId="6" borderId="1" applyAlignment="1" pivotButton="0" quotePrefix="0" xfId="0">
      <alignment horizontal="left" vertical="center"/>
    </xf>
    <xf numFmtId="0" fontId="20" fillId="6" borderId="1" applyAlignment="1" pivotButton="0" quotePrefix="0" xfId="0">
      <alignment horizontal="center" vertical="center"/>
    </xf>
    <xf numFmtId="0" fontId="18" fillId="5" borderId="1" applyAlignment="1" pivotButton="0" quotePrefix="0" xfId="0">
      <alignment horizontal="center" vertical="center"/>
    </xf>
    <xf numFmtId="0" fontId="18" fillId="5" borderId="1" applyAlignment="1" pivotButton="0" quotePrefix="0" xfId="0">
      <alignment horizontal="left" vertical="center"/>
    </xf>
    <xf numFmtId="0" fontId="2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6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55" customHeight="1">
      <c r="A1" s="1" t="inlineStr">
        <is>
          <t>⚽  PENCA DEL MUNDIAL FIFA 2026</t>
        </is>
      </c>
    </row>
    <row r="2" ht="28" customHeight="1">
      <c r="A2" s="2" t="inlineStr">
        <is>
          <t>Sistema de Gestión · Hoja de Cálculo v1.0</t>
        </is>
      </c>
    </row>
    <row r="4" ht="26" customHeight="1">
      <c r="A4" s="3" t="inlineStr">
        <is>
          <t>INSTRUCCIONES DE USO</t>
        </is>
      </c>
    </row>
    <row r="6" ht="22" customHeight="1">
      <c r="A6" s="4" t="inlineStr">
        <is>
          <t>1</t>
        </is>
      </c>
      <c r="B6" s="5" t="inlineStr">
        <is>
          <t>PARTICIPANTES</t>
        </is>
      </c>
      <c r="D6" s="6" t="inlineStr">
        <is>
          <t>Registrá los participantes de la penca en la hoja PARTICIPANTES (columnas A y B).</t>
        </is>
      </c>
    </row>
    <row r="7" ht="22" customHeight="1">
      <c r="A7" s="4" t="inlineStr">
        <is>
          <t>2</t>
        </is>
      </c>
      <c r="B7" s="5" t="inlineStr">
        <is>
          <t>PARTIDOS</t>
        </is>
      </c>
      <c r="D7" s="6" t="inlineStr">
        <is>
          <t>Los 48 partidos de la fase de grupos ya están cargados en la hoja PARTIDOS.</t>
        </is>
      </c>
    </row>
    <row r="8" ht="22" customHeight="1">
      <c r="A8" s="4" t="inlineStr">
        <is>
          <t>3</t>
        </is>
      </c>
      <c r="B8" s="5" t="inlineStr">
        <is>
          <t>PRONÓSTICOS</t>
        </is>
      </c>
      <c r="D8" s="6" t="inlineStr">
        <is>
          <t>En la hoja PRONÓSTICOS ingresá el marcador pronosticado por cada participante.</t>
        </is>
      </c>
    </row>
    <row r="9" ht="22" customHeight="1">
      <c r="A9" s="4" t="inlineStr">
        <is>
          <t>4</t>
        </is>
      </c>
      <c r="B9" s="5" t="inlineStr">
        <is>
          <t>RESULTADOS</t>
        </is>
      </c>
      <c r="D9" s="6" t="inlineStr">
        <is>
          <t>Cuando termine un partido, ingresá el resultado real en la hoja RESULTADOS.</t>
        </is>
      </c>
    </row>
    <row r="10" ht="22" customHeight="1">
      <c r="A10" s="4" t="inlineStr">
        <is>
          <t>5</t>
        </is>
      </c>
      <c r="B10" s="5" t="inlineStr">
        <is>
          <t>PUNTAJES</t>
        </is>
      </c>
      <c r="D10" s="6" t="inlineStr">
        <is>
          <t>Los puntajes se calculan automáticamente en la hoja PUNTAJES al ingresar resultados.</t>
        </is>
      </c>
    </row>
    <row r="11" ht="22" customHeight="1">
      <c r="A11" s="4" t="inlineStr">
        <is>
          <t>6</t>
        </is>
      </c>
      <c r="B11" s="5" t="inlineStr">
        <is>
          <t>CLASIFICACIÓN</t>
        </is>
      </c>
      <c r="D11" s="6" t="inlineStr">
        <is>
          <t>La tabla de posiciones se actualiza automáticamente en la hoja CLASIFICACIÓN.</t>
        </is>
      </c>
    </row>
    <row r="13" ht="10" customHeight="1"/>
    <row r="14" ht="26" customHeight="1">
      <c r="A14" s="3" t="inlineStr">
        <is>
          <t>SISTEMA DE PUNTUACIÓN</t>
        </is>
      </c>
    </row>
    <row r="15" ht="22" customHeight="1">
      <c r="A15" s="7" t="inlineStr">
        <is>
          <t>⭐ EXACTO</t>
        </is>
      </c>
      <c r="B15" s="8" t="inlineStr">
        <is>
          <t>3 puntos</t>
        </is>
      </c>
      <c r="D15" s="9" t="inlineStr">
        <is>
          <t>Acertás el marcador exacto (ej: pronóstico 2-1, resultado 2-1)</t>
        </is>
      </c>
    </row>
    <row r="16" ht="22" customHeight="1">
      <c r="A16" s="7" t="inlineStr">
        <is>
          <t>✓ DIFERENCIA</t>
        </is>
      </c>
      <c r="B16" s="8" t="inlineStr">
        <is>
          <t>2 puntos</t>
        </is>
      </c>
      <c r="D16" s="9" t="inlineStr">
        <is>
          <t>La diferencia de goles es correcta y hay ganador (ej: pron 3-1, res 2-0)</t>
        </is>
      </c>
    </row>
    <row r="17" ht="22" customHeight="1">
      <c r="A17" s="7" t="inlineStr">
        <is>
          <t>✓ GANADOR</t>
        </is>
      </c>
      <c r="B17" s="8" t="inlineStr">
        <is>
          <t>1 punto</t>
        </is>
      </c>
      <c r="D17" s="9" t="inlineStr">
        <is>
          <t>Acertás quién gana o si hay empate (pero no diferencia ni marcador)</t>
        </is>
      </c>
    </row>
    <row r="18" ht="22" customHeight="1">
      <c r="A18" s="7" t="inlineStr">
        <is>
          <t>✗ INCORRECTO</t>
        </is>
      </c>
      <c r="B18" s="8" t="inlineStr">
        <is>
          <t>0 puntos</t>
        </is>
      </c>
      <c r="D18" s="9" t="inlineStr">
        <is>
          <t>El pronóstico no coincide con ninguna categoría anterior</t>
        </is>
      </c>
    </row>
  </sheetData>
  <mergeCells count="24">
    <mergeCell ref="B16:C16"/>
    <mergeCell ref="B7:C7"/>
    <mergeCell ref="D10:H10"/>
    <mergeCell ref="A1:H1"/>
    <mergeCell ref="B18:C18"/>
    <mergeCell ref="D6:H6"/>
    <mergeCell ref="B11:C11"/>
    <mergeCell ref="D11:H11"/>
    <mergeCell ref="B17:C17"/>
    <mergeCell ref="B8:C8"/>
    <mergeCell ref="D17:H17"/>
    <mergeCell ref="D7:H7"/>
    <mergeCell ref="D16:H16"/>
    <mergeCell ref="A2:H2"/>
    <mergeCell ref="B10:C10"/>
    <mergeCell ref="A14:H14"/>
    <mergeCell ref="B9:C9"/>
    <mergeCell ref="D18:H18"/>
    <mergeCell ref="D9:H9"/>
    <mergeCell ref="A4:H4"/>
    <mergeCell ref="B6:C6"/>
    <mergeCell ref="D8:H8"/>
    <mergeCell ref="B15:C15"/>
    <mergeCell ref="D15:H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28" customWidth="1" min="3" max="3"/>
    <col width="18" customWidth="1" min="4" max="4"/>
    <col width="10" customWidth="1" min="5" max="5"/>
  </cols>
  <sheetData>
    <row r="1" ht="36" customHeight="1">
      <c r="A1" s="10" t="inlineStr">
        <is>
          <t>REGISTRO DE PARTICIPANTES</t>
        </is>
      </c>
    </row>
    <row r="2">
      <c r="A2" s="11" t="inlineStr">
        <is>
          <t>#</t>
        </is>
      </c>
      <c r="B2" s="11" t="inlineStr">
        <is>
          <t>NOMBRE COMPLETO</t>
        </is>
      </c>
      <c r="C2" s="11" t="inlineStr">
        <is>
          <t>EMAIL</t>
        </is>
      </c>
      <c r="D2" s="11" t="inlineStr">
        <is>
          <t>FECHA REGISTRO</t>
        </is>
      </c>
      <c r="E2" s="11" t="inlineStr">
        <is>
          <t>ACTIVO</t>
        </is>
      </c>
    </row>
    <row r="3">
      <c r="A3" s="12" t="n">
        <v>1</v>
      </c>
      <c r="B3" s="12" t="inlineStr">
        <is>
          <t>Ana García</t>
        </is>
      </c>
      <c r="C3" s="12" t="inlineStr">
        <is>
          <t>ana@email.com</t>
        </is>
      </c>
      <c r="D3" s="12" t="inlineStr">
        <is>
          <t>11/06/2026</t>
        </is>
      </c>
      <c r="E3" s="12" t="inlineStr">
        <is>
          <t>SÍ</t>
        </is>
      </c>
    </row>
    <row r="4">
      <c r="A4" s="13" t="n">
        <v>2</v>
      </c>
      <c r="B4" s="13" t="inlineStr">
        <is>
          <t>Bruno Pérez</t>
        </is>
      </c>
      <c r="C4" s="13" t="inlineStr">
        <is>
          <t>bruno@email.com</t>
        </is>
      </c>
      <c r="D4" s="13" t="inlineStr">
        <is>
          <t>11/06/2026</t>
        </is>
      </c>
      <c r="E4" s="13" t="inlineStr">
        <is>
          <t>SÍ</t>
        </is>
      </c>
    </row>
    <row r="5">
      <c r="A5" s="12" t="n">
        <v>3</v>
      </c>
      <c r="B5" s="12" t="inlineStr">
        <is>
          <t>Carla López</t>
        </is>
      </c>
      <c r="C5" s="12" t="inlineStr">
        <is>
          <t>carla@email.com</t>
        </is>
      </c>
      <c r="D5" s="12" t="inlineStr">
        <is>
          <t>11/06/2026</t>
        </is>
      </c>
      <c r="E5" s="12" t="inlineStr">
        <is>
          <t>SÍ</t>
        </is>
      </c>
    </row>
    <row r="6">
      <c r="A6" s="13" t="n">
        <v>4</v>
      </c>
      <c r="B6" s="13" t="inlineStr">
        <is>
          <t>Diego Martínez</t>
        </is>
      </c>
      <c r="C6" s="13" t="inlineStr">
        <is>
          <t>diego@email.com</t>
        </is>
      </c>
      <c r="D6" s="13" t="inlineStr">
        <is>
          <t>11/06/2026</t>
        </is>
      </c>
      <c r="E6" s="13" t="inlineStr">
        <is>
          <t>SÍ</t>
        </is>
      </c>
    </row>
    <row r="7">
      <c r="A7" s="12" t="n">
        <v>5</v>
      </c>
      <c r="B7" s="12" t="inlineStr">
        <is>
          <t>Elena Rodríguez</t>
        </is>
      </c>
      <c r="C7" s="12" t="inlineStr">
        <is>
          <t>elena@email.com</t>
        </is>
      </c>
      <c r="D7" s="12" t="inlineStr">
        <is>
          <t>11/06/2026</t>
        </is>
      </c>
      <c r="E7" s="12" t="inlineStr">
        <is>
          <t>SÍ</t>
        </is>
      </c>
    </row>
    <row r="8">
      <c r="A8" s="13" t="n">
        <v>6</v>
      </c>
      <c r="B8" s="13" t="n"/>
      <c r="C8" s="13" t="n"/>
      <c r="D8" s="13" t="n"/>
      <c r="E8" s="13" t="n"/>
    </row>
    <row r="9">
      <c r="A9" s="12" t="n">
        <v>7</v>
      </c>
      <c r="B9" s="12" t="n"/>
      <c r="C9" s="12" t="n"/>
      <c r="D9" s="12" t="n"/>
      <c r="E9" s="12" t="n"/>
    </row>
    <row r="10">
      <c r="A10" s="13" t="n">
        <v>8</v>
      </c>
      <c r="B10" s="13" t="n"/>
      <c r="C10" s="13" t="n"/>
      <c r="D10" s="13" t="n"/>
      <c r="E10" s="13" t="n"/>
    </row>
    <row r="11">
      <c r="A11" s="12" t="n">
        <v>9</v>
      </c>
      <c r="B11" s="12" t="n"/>
      <c r="C11" s="12" t="n"/>
      <c r="D11" s="12" t="n"/>
      <c r="E11" s="12" t="n"/>
    </row>
    <row r="12">
      <c r="A12" s="13" t="n">
        <v>10</v>
      </c>
      <c r="B12" s="13" t="n"/>
      <c r="C12" s="13" t="n"/>
      <c r="D12" s="13" t="n"/>
      <c r="E12" s="13" t="n"/>
    </row>
    <row r="13">
      <c r="A13" s="12" t="n">
        <v>11</v>
      </c>
      <c r="B13" s="12" t="n"/>
      <c r="C13" s="12" t="n"/>
      <c r="D13" s="12" t="n"/>
      <c r="E13" s="12" t="n"/>
    </row>
    <row r="14">
      <c r="A14" s="13" t="n">
        <v>12</v>
      </c>
      <c r="B14" s="13" t="n"/>
      <c r="C14" s="13" t="n"/>
      <c r="D14" s="13" t="n"/>
      <c r="E14" s="13" t="n"/>
    </row>
    <row r="15">
      <c r="A15" s="12" t="n">
        <v>13</v>
      </c>
      <c r="B15" s="12" t="n"/>
      <c r="C15" s="12" t="n"/>
      <c r="D15" s="12" t="n"/>
      <c r="E15" s="12" t="n"/>
    </row>
    <row r="16">
      <c r="A16" s="13" t="n">
        <v>14</v>
      </c>
      <c r="B16" s="13" t="n"/>
      <c r="C16" s="13" t="n"/>
      <c r="D16" s="13" t="n"/>
      <c r="E16" s="13" t="n"/>
    </row>
    <row r="17">
      <c r="A17" s="12" t="n">
        <v>15</v>
      </c>
      <c r="B17" s="12" t="n"/>
      <c r="C17" s="12" t="n"/>
      <c r="D17" s="12" t="n"/>
      <c r="E17" s="12" t="n"/>
    </row>
    <row r="18">
      <c r="A18" s="13" t="n">
        <v>16</v>
      </c>
      <c r="B18" s="13" t="n"/>
      <c r="C18" s="13" t="n"/>
      <c r="D18" s="13" t="n"/>
      <c r="E18" s="13" t="n"/>
    </row>
    <row r="19">
      <c r="A19" s="12" t="n">
        <v>17</v>
      </c>
      <c r="B19" s="12" t="n"/>
      <c r="C19" s="12" t="n"/>
      <c r="D19" s="12" t="n"/>
      <c r="E19" s="12" t="n"/>
    </row>
    <row r="20">
      <c r="A20" s="13" t="n">
        <v>18</v>
      </c>
      <c r="B20" s="13" t="n"/>
      <c r="C20" s="13" t="n"/>
      <c r="D20" s="13" t="n"/>
      <c r="E20" s="13" t="n"/>
    </row>
    <row r="21">
      <c r="A21" s="12" t="n">
        <v>19</v>
      </c>
      <c r="B21" s="12" t="n"/>
      <c r="C21" s="12" t="n"/>
      <c r="D21" s="12" t="n"/>
      <c r="E21" s="12" t="n"/>
    </row>
    <row r="22">
      <c r="A22" s="13" t="n">
        <v>20</v>
      </c>
      <c r="B22" s="13" t="n"/>
      <c r="C22" s="13" t="n"/>
      <c r="D22" s="13" t="n"/>
      <c r="E22" s="13" t="n"/>
    </row>
    <row r="23">
      <c r="A23" s="12" t="n">
        <v>21</v>
      </c>
      <c r="B23" s="12" t="n"/>
      <c r="C23" s="12" t="n"/>
      <c r="D23" s="12" t="n"/>
      <c r="E23" s="12" t="n"/>
    </row>
    <row r="24">
      <c r="A24" s="13" t="n">
        <v>22</v>
      </c>
      <c r="B24" s="13" t="n"/>
      <c r="C24" s="13" t="n"/>
      <c r="D24" s="13" t="n"/>
      <c r="E24" s="13" t="n"/>
    </row>
    <row r="25">
      <c r="A25" s="12" t="n">
        <v>23</v>
      </c>
      <c r="B25" s="12" t="n"/>
      <c r="C25" s="12" t="n"/>
      <c r="D25" s="12" t="n"/>
      <c r="E25" s="12" t="n"/>
    </row>
    <row r="26">
      <c r="A26" s="13" t="n">
        <v>24</v>
      </c>
      <c r="B26" s="13" t="n"/>
      <c r="C26" s="13" t="n"/>
      <c r="D26" s="13" t="n"/>
      <c r="E26" s="13" t="n"/>
    </row>
    <row r="27">
      <c r="A27" s="12" t="n">
        <v>25</v>
      </c>
      <c r="B27" s="12" t="n"/>
      <c r="C27" s="12" t="n"/>
      <c r="D27" s="12" t="n"/>
      <c r="E27" s="12" t="n"/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22" customWidth="1" min="3" max="3"/>
    <col width="22" customWidth="1" min="4" max="4"/>
    <col width="14" customWidth="1" min="5" max="5"/>
    <col width="8" customWidth="1" min="6" max="6"/>
    <col width="24" customWidth="1" min="7" max="7"/>
    <col width="22" customWidth="1" min="8" max="8"/>
  </cols>
  <sheetData>
    <row r="1" ht="36" customHeight="1">
      <c r="A1" s="10" t="inlineStr">
        <is>
          <t>PARTIDOS — FASE DE GRUPOS MUNDIAL 2026</t>
        </is>
      </c>
    </row>
    <row r="2">
      <c r="A2" s="11" t="inlineStr">
        <is>
          <t>#</t>
        </is>
      </c>
      <c r="B2" s="11" t="inlineStr">
        <is>
          <t>GRUPO</t>
        </is>
      </c>
      <c r="C2" s="11" t="inlineStr">
        <is>
          <t>EQUIPO LOCAL</t>
        </is>
      </c>
      <c r="D2" s="11" t="inlineStr">
        <is>
          <t>EQUIPO VISITANTE</t>
        </is>
      </c>
      <c r="E2" s="11" t="inlineStr">
        <is>
          <t>FECHA</t>
        </is>
      </c>
      <c r="F2" s="11" t="inlineStr">
        <is>
          <t>HORA</t>
        </is>
      </c>
      <c r="G2" s="11" t="inlineStr">
        <is>
          <t>ESTADIO</t>
        </is>
      </c>
      <c r="H2" s="11" t="inlineStr">
        <is>
          <t>CIUDAD/PAÍS</t>
        </is>
      </c>
    </row>
    <row r="3">
      <c r="A3" s="14" t="n">
        <v>1</v>
      </c>
      <c r="B3" s="15" t="inlineStr">
        <is>
          <t>A</t>
        </is>
      </c>
      <c r="C3" s="16" t="inlineStr">
        <is>
          <t>Estados Unidos</t>
        </is>
      </c>
      <c r="D3" s="16" t="inlineStr">
        <is>
          <t>Canadá</t>
        </is>
      </c>
      <c r="E3" s="14" t="inlineStr">
        <is>
          <t>11/06/2026</t>
        </is>
      </c>
      <c r="F3" s="14" t="inlineStr">
        <is>
          <t>18:00</t>
        </is>
      </c>
      <c r="G3" s="16" t="inlineStr">
        <is>
          <t>SoFi Stadium</t>
        </is>
      </c>
      <c r="H3" s="16" t="inlineStr">
        <is>
          <t>Los Ángeles, USA</t>
        </is>
      </c>
    </row>
    <row r="4">
      <c r="A4" s="14" t="n">
        <v>2</v>
      </c>
      <c r="B4" s="15" t="inlineStr">
        <is>
          <t>A</t>
        </is>
      </c>
      <c r="C4" s="16" t="inlineStr">
        <is>
          <t>Uruguay</t>
        </is>
      </c>
      <c r="D4" s="16" t="inlineStr">
        <is>
          <t>Estados Unidos</t>
        </is>
      </c>
      <c r="E4" s="14" t="inlineStr">
        <is>
          <t>15/06/2026</t>
        </is>
      </c>
      <c r="F4" s="14" t="inlineStr">
        <is>
          <t>15:00</t>
        </is>
      </c>
      <c r="G4" s="16" t="inlineStr">
        <is>
          <t>Hard Rock Stadium</t>
        </is>
      </c>
      <c r="H4" s="16" t="inlineStr">
        <is>
          <t>Miami, USA</t>
        </is>
      </c>
    </row>
    <row r="5">
      <c r="A5" s="14" t="n">
        <v>3</v>
      </c>
      <c r="B5" s="15" t="inlineStr">
        <is>
          <t>A</t>
        </is>
      </c>
      <c r="C5" s="16" t="inlineStr">
        <is>
          <t>Canadá</t>
        </is>
      </c>
      <c r="D5" s="16" t="inlineStr">
        <is>
          <t>Uruguay</t>
        </is>
      </c>
      <c r="E5" s="14" t="inlineStr">
        <is>
          <t>19/06/2026</t>
        </is>
      </c>
      <c r="F5" s="14" t="inlineStr">
        <is>
          <t>12:00</t>
        </is>
      </c>
      <c r="G5" s="16" t="inlineStr">
        <is>
          <t>Levi's Stadium</t>
        </is>
      </c>
      <c r="H5" s="16" t="inlineStr">
        <is>
          <t>San Francisco, USA</t>
        </is>
      </c>
    </row>
    <row r="6">
      <c r="A6" s="17" t="n">
        <v>4</v>
      </c>
      <c r="B6" s="18" t="inlineStr">
        <is>
          <t>B</t>
        </is>
      </c>
      <c r="C6" s="19" t="inlineStr">
        <is>
          <t>México</t>
        </is>
      </c>
      <c r="D6" s="19" t="inlineStr">
        <is>
          <t>Ecuador</t>
        </is>
      </c>
      <c r="E6" s="17" t="inlineStr">
        <is>
          <t>11/06/2026</t>
        </is>
      </c>
      <c r="F6" s="17" t="inlineStr">
        <is>
          <t>21:00</t>
        </is>
      </c>
      <c r="G6" s="19" t="inlineStr">
        <is>
          <t>AT&amp;T Stadium</t>
        </is>
      </c>
      <c r="H6" s="19" t="inlineStr">
        <is>
          <t>Dallas, USA</t>
        </is>
      </c>
    </row>
    <row r="7">
      <c r="A7" s="17" t="n">
        <v>5</v>
      </c>
      <c r="B7" s="18" t="inlineStr">
        <is>
          <t>B</t>
        </is>
      </c>
      <c r="C7" s="19" t="inlineStr">
        <is>
          <t>Jamaica</t>
        </is>
      </c>
      <c r="D7" s="19" t="inlineStr">
        <is>
          <t>México</t>
        </is>
      </c>
      <c r="E7" s="17" t="inlineStr">
        <is>
          <t>15/06/2026</t>
        </is>
      </c>
      <c r="F7" s="17" t="inlineStr">
        <is>
          <t>18:00</t>
        </is>
      </c>
      <c r="G7" s="19" t="inlineStr">
        <is>
          <t>Estadio Azteca</t>
        </is>
      </c>
      <c r="H7" s="19" t="inlineStr">
        <is>
          <t>Ciudad de México, MEX</t>
        </is>
      </c>
    </row>
    <row r="8">
      <c r="A8" s="17" t="n">
        <v>6</v>
      </c>
      <c r="B8" s="18" t="inlineStr">
        <is>
          <t>B</t>
        </is>
      </c>
      <c r="C8" s="19" t="inlineStr">
        <is>
          <t>Ecuador</t>
        </is>
      </c>
      <c r="D8" s="19" t="inlineStr">
        <is>
          <t>Jamaica</t>
        </is>
      </c>
      <c r="E8" s="17" t="inlineStr">
        <is>
          <t>19/06/2026</t>
        </is>
      </c>
      <c r="F8" s="17" t="inlineStr">
        <is>
          <t>15:00</t>
        </is>
      </c>
      <c r="G8" s="19" t="inlineStr">
        <is>
          <t>BMO Field</t>
        </is>
      </c>
      <c r="H8" s="19" t="inlineStr">
        <is>
          <t>Toronto, CAN</t>
        </is>
      </c>
    </row>
    <row r="9">
      <c r="A9" s="20" t="n">
        <v>7</v>
      </c>
      <c r="B9" s="21" t="inlineStr">
        <is>
          <t>C</t>
        </is>
      </c>
      <c r="C9" s="22" t="inlineStr">
        <is>
          <t>Argentina</t>
        </is>
      </c>
      <c r="D9" s="22" t="inlineStr">
        <is>
          <t>Chile</t>
        </is>
      </c>
      <c r="E9" s="20" t="inlineStr">
        <is>
          <t>12/06/2026</t>
        </is>
      </c>
      <c r="F9" s="20" t="inlineStr">
        <is>
          <t>12:00</t>
        </is>
      </c>
      <c r="G9" s="22" t="inlineStr">
        <is>
          <t>MetLife Stadium</t>
        </is>
      </c>
      <c r="H9" s="22" t="inlineStr">
        <is>
          <t>Nueva York, USA</t>
        </is>
      </c>
    </row>
    <row r="10">
      <c r="A10" s="20" t="n">
        <v>8</v>
      </c>
      <c r="B10" s="21" t="inlineStr">
        <is>
          <t>C</t>
        </is>
      </c>
      <c r="C10" s="22" t="inlineStr">
        <is>
          <t>Albania</t>
        </is>
      </c>
      <c r="D10" s="22" t="inlineStr">
        <is>
          <t>Argentina</t>
        </is>
      </c>
      <c r="E10" s="20" t="inlineStr">
        <is>
          <t>16/06/2026</t>
        </is>
      </c>
      <c r="F10" s="20" t="inlineStr">
        <is>
          <t>12:00</t>
        </is>
      </c>
      <c r="G10" s="22" t="inlineStr">
        <is>
          <t>Rose Bowl</t>
        </is>
      </c>
      <c r="H10" s="22" t="inlineStr">
        <is>
          <t>Los Ángeles, USA</t>
        </is>
      </c>
    </row>
    <row r="11">
      <c r="A11" s="20" t="n">
        <v>9</v>
      </c>
      <c r="B11" s="21" t="inlineStr">
        <is>
          <t>C</t>
        </is>
      </c>
      <c r="C11" s="22" t="inlineStr">
        <is>
          <t>Chile</t>
        </is>
      </c>
      <c r="D11" s="22" t="inlineStr">
        <is>
          <t>Albania</t>
        </is>
      </c>
      <c r="E11" s="20" t="inlineStr">
        <is>
          <t>20/06/2026</t>
        </is>
      </c>
      <c r="F11" s="20" t="inlineStr">
        <is>
          <t>12:00</t>
        </is>
      </c>
      <c r="G11" s="22" t="inlineStr">
        <is>
          <t>Lumen Field</t>
        </is>
      </c>
      <c r="H11" s="22" t="inlineStr">
        <is>
          <t>Seattle, USA</t>
        </is>
      </c>
    </row>
    <row r="12">
      <c r="A12" s="23" t="n">
        <v>10</v>
      </c>
      <c r="B12" s="24" t="inlineStr">
        <is>
          <t>D</t>
        </is>
      </c>
      <c r="C12" s="25" t="inlineStr">
        <is>
          <t>Brasil</t>
        </is>
      </c>
      <c r="D12" s="25" t="inlineStr">
        <is>
          <t>Colombia</t>
        </is>
      </c>
      <c r="E12" s="23" t="inlineStr">
        <is>
          <t>12/06/2026</t>
        </is>
      </c>
      <c r="F12" s="23" t="inlineStr">
        <is>
          <t>15:00</t>
        </is>
      </c>
      <c r="G12" s="25" t="inlineStr">
        <is>
          <t>Gillette Stadium</t>
        </is>
      </c>
      <c r="H12" s="25" t="inlineStr">
        <is>
          <t>Boston, USA</t>
        </is>
      </c>
    </row>
    <row r="13">
      <c r="A13" s="23" t="n">
        <v>11</v>
      </c>
      <c r="B13" s="24" t="inlineStr">
        <is>
          <t>D</t>
        </is>
      </c>
      <c r="C13" s="25" t="inlineStr">
        <is>
          <t>Panamá</t>
        </is>
      </c>
      <c r="D13" s="25" t="inlineStr">
        <is>
          <t>Brasil</t>
        </is>
      </c>
      <c r="E13" s="23" t="inlineStr">
        <is>
          <t>16/06/2026</t>
        </is>
      </c>
      <c r="F13" s="23" t="inlineStr">
        <is>
          <t>15:00</t>
        </is>
      </c>
      <c r="G13" s="25" t="inlineStr">
        <is>
          <t>Arrowhead Stadium</t>
        </is>
      </c>
      <c r="H13" s="25" t="inlineStr">
        <is>
          <t>Kansas City, USA</t>
        </is>
      </c>
    </row>
    <row r="14">
      <c r="A14" s="23" t="n">
        <v>12</v>
      </c>
      <c r="B14" s="24" t="inlineStr">
        <is>
          <t>D</t>
        </is>
      </c>
      <c r="C14" s="25" t="inlineStr">
        <is>
          <t>Colombia</t>
        </is>
      </c>
      <c r="D14" s="25" t="inlineStr">
        <is>
          <t>Panamá</t>
        </is>
      </c>
      <c r="E14" s="23" t="inlineStr">
        <is>
          <t>20/06/2026</t>
        </is>
      </c>
      <c r="F14" s="23" t="inlineStr">
        <is>
          <t>15:00</t>
        </is>
      </c>
      <c r="G14" s="25" t="inlineStr">
        <is>
          <t>Est. Universitario</t>
        </is>
      </c>
      <c r="H14" s="25" t="inlineStr">
        <is>
          <t>Monterrey, MEX</t>
        </is>
      </c>
    </row>
    <row r="15">
      <c r="A15" s="26" t="n">
        <v>13</v>
      </c>
      <c r="B15" s="27" t="inlineStr">
        <is>
          <t>E</t>
        </is>
      </c>
      <c r="C15" s="28" t="inlineStr">
        <is>
          <t>España</t>
        </is>
      </c>
      <c r="D15" s="28" t="inlineStr">
        <is>
          <t>Marruecos</t>
        </is>
      </c>
      <c r="E15" s="26" t="inlineStr">
        <is>
          <t>12/06/2026</t>
        </is>
      </c>
      <c r="F15" s="26" t="inlineStr">
        <is>
          <t>18:00</t>
        </is>
      </c>
      <c r="G15" s="28" t="inlineStr">
        <is>
          <t>Allegiant Stadium</t>
        </is>
      </c>
      <c r="H15" s="28" t="inlineStr">
        <is>
          <t>Las Vegas, USA</t>
        </is>
      </c>
    </row>
    <row r="16">
      <c r="A16" s="26" t="n">
        <v>14</v>
      </c>
      <c r="B16" s="27" t="inlineStr">
        <is>
          <t>E</t>
        </is>
      </c>
      <c r="C16" s="28" t="inlineStr">
        <is>
          <t>Portugal</t>
        </is>
      </c>
      <c r="D16" s="28" t="inlineStr">
        <is>
          <t>España</t>
        </is>
      </c>
      <c r="E16" s="26" t="inlineStr">
        <is>
          <t>16/06/2026</t>
        </is>
      </c>
      <c r="F16" s="26" t="inlineStr">
        <is>
          <t>18:00</t>
        </is>
      </c>
      <c r="G16" s="28" t="inlineStr">
        <is>
          <t>Lincoln Financial</t>
        </is>
      </c>
      <c r="H16" s="28" t="inlineStr">
        <is>
          <t>Filadelfia, USA</t>
        </is>
      </c>
    </row>
    <row r="17">
      <c r="A17" s="26" t="n">
        <v>15</v>
      </c>
      <c r="B17" s="27" t="inlineStr">
        <is>
          <t>E</t>
        </is>
      </c>
      <c r="C17" s="28" t="inlineStr">
        <is>
          <t>Marruecos</t>
        </is>
      </c>
      <c r="D17" s="28" t="inlineStr">
        <is>
          <t>Portugal</t>
        </is>
      </c>
      <c r="E17" s="26" t="inlineStr">
        <is>
          <t>20/06/2026</t>
        </is>
      </c>
      <c r="F17" s="26" t="inlineStr">
        <is>
          <t>18:00</t>
        </is>
      </c>
      <c r="G17" s="28" t="inlineStr">
        <is>
          <t>BC Place</t>
        </is>
      </c>
      <c r="H17" s="28" t="inlineStr">
        <is>
          <t>Vancouver, CAN</t>
        </is>
      </c>
    </row>
    <row r="18">
      <c r="A18" s="29" t="n">
        <v>16</v>
      </c>
      <c r="B18" s="30" t="inlineStr">
        <is>
          <t>F</t>
        </is>
      </c>
      <c r="C18" s="31" t="inlineStr">
        <is>
          <t>Francia</t>
        </is>
      </c>
      <c r="D18" s="31" t="inlineStr">
        <is>
          <t>Bélgica</t>
        </is>
      </c>
      <c r="E18" s="29" t="inlineStr">
        <is>
          <t>12/06/2026</t>
        </is>
      </c>
      <c r="F18" s="29" t="inlineStr">
        <is>
          <t>21:00</t>
        </is>
      </c>
      <c r="G18" s="31" t="inlineStr">
        <is>
          <t>Mercedes-Benz Stad.</t>
        </is>
      </c>
      <c r="H18" s="31" t="inlineStr">
        <is>
          <t>Atlanta, USA</t>
        </is>
      </c>
    </row>
    <row r="19">
      <c r="A19" s="29" t="n">
        <v>17</v>
      </c>
      <c r="B19" s="30" t="inlineStr">
        <is>
          <t>F</t>
        </is>
      </c>
      <c r="C19" s="31" t="inlineStr">
        <is>
          <t>Italia</t>
        </is>
      </c>
      <c r="D19" s="31" t="inlineStr">
        <is>
          <t>Francia</t>
        </is>
      </c>
      <c r="E19" s="29" t="inlineStr">
        <is>
          <t>16/06/2026</t>
        </is>
      </c>
      <c r="F19" s="29" t="inlineStr">
        <is>
          <t>21:00</t>
        </is>
      </c>
      <c r="G19" s="31" t="inlineStr">
        <is>
          <t>SoFi Stadium</t>
        </is>
      </c>
      <c r="H19" s="31" t="inlineStr">
        <is>
          <t>Los Ángeles, USA</t>
        </is>
      </c>
    </row>
    <row r="20">
      <c r="A20" s="29" t="n">
        <v>18</v>
      </c>
      <c r="B20" s="30" t="inlineStr">
        <is>
          <t>F</t>
        </is>
      </c>
      <c r="C20" s="31" t="inlineStr">
        <is>
          <t>Bélgica</t>
        </is>
      </c>
      <c r="D20" s="31" t="inlineStr">
        <is>
          <t>Italia</t>
        </is>
      </c>
      <c r="E20" s="29" t="inlineStr">
        <is>
          <t>20/06/2026</t>
        </is>
      </c>
      <c r="F20" s="29" t="inlineStr">
        <is>
          <t>21:00</t>
        </is>
      </c>
      <c r="G20" s="31" t="inlineStr">
        <is>
          <t>Estadio BBVA</t>
        </is>
      </c>
      <c r="H20" s="31" t="inlineStr">
        <is>
          <t>Monterrey, MEX</t>
        </is>
      </c>
    </row>
    <row r="21">
      <c r="A21" s="32" t="n">
        <v>19</v>
      </c>
      <c r="B21" s="33" t="inlineStr">
        <is>
          <t>G</t>
        </is>
      </c>
      <c r="C21" s="34" t="inlineStr">
        <is>
          <t>Alemania</t>
        </is>
      </c>
      <c r="D21" s="34" t="inlineStr">
        <is>
          <t>Países Bajos</t>
        </is>
      </c>
      <c r="E21" s="32" t="inlineStr">
        <is>
          <t>13/06/2026</t>
        </is>
      </c>
      <c r="F21" s="32" t="inlineStr">
        <is>
          <t>12:00</t>
        </is>
      </c>
      <c r="G21" s="34" t="inlineStr">
        <is>
          <t>AT&amp;T Stadium</t>
        </is>
      </c>
      <c r="H21" s="34" t="inlineStr">
        <is>
          <t>Dallas, USA</t>
        </is>
      </c>
    </row>
    <row r="22">
      <c r="A22" s="32" t="n">
        <v>20</v>
      </c>
      <c r="B22" s="33" t="inlineStr">
        <is>
          <t>G</t>
        </is>
      </c>
      <c r="C22" s="34" t="inlineStr">
        <is>
          <t>Hungría</t>
        </is>
      </c>
      <c r="D22" s="34" t="inlineStr">
        <is>
          <t>Alemania</t>
        </is>
      </c>
      <c r="E22" s="32" t="inlineStr">
        <is>
          <t>17/06/2026</t>
        </is>
      </c>
      <c r="F22" s="32" t="inlineStr">
        <is>
          <t>12:00</t>
        </is>
      </c>
      <c r="G22" s="34" t="inlineStr">
        <is>
          <t>MetLife Stadium</t>
        </is>
      </c>
      <c r="H22" s="34" t="inlineStr">
        <is>
          <t>Nueva York, USA</t>
        </is>
      </c>
    </row>
    <row r="23">
      <c r="A23" s="32" t="n">
        <v>21</v>
      </c>
      <c r="B23" s="33" t="inlineStr">
        <is>
          <t>G</t>
        </is>
      </c>
      <c r="C23" s="34" t="inlineStr">
        <is>
          <t>Países Bajos</t>
        </is>
      </c>
      <c r="D23" s="34" t="inlineStr">
        <is>
          <t>Hungría</t>
        </is>
      </c>
      <c r="E23" s="32" t="inlineStr">
        <is>
          <t>21/06/2026</t>
        </is>
      </c>
      <c r="F23" s="32" t="inlineStr">
        <is>
          <t>12:00</t>
        </is>
      </c>
      <c r="G23" s="34" t="inlineStr">
        <is>
          <t>Hard Rock Stadium</t>
        </is>
      </c>
      <c r="H23" s="34" t="inlineStr">
        <is>
          <t>Miami, USA</t>
        </is>
      </c>
    </row>
    <row r="24">
      <c r="A24" s="35" t="n">
        <v>22</v>
      </c>
      <c r="B24" s="36" t="inlineStr">
        <is>
          <t>H</t>
        </is>
      </c>
      <c r="C24" s="37" t="inlineStr">
        <is>
          <t>Inglaterra</t>
        </is>
      </c>
      <c r="D24" s="37" t="inlineStr">
        <is>
          <t>Eslovaquia</t>
        </is>
      </c>
      <c r="E24" s="35" t="inlineStr">
        <is>
          <t>13/06/2026</t>
        </is>
      </c>
      <c r="F24" s="35" t="inlineStr">
        <is>
          <t>15:00</t>
        </is>
      </c>
      <c r="G24" s="37" t="inlineStr">
        <is>
          <t>Lincoln Financial</t>
        </is>
      </c>
      <c r="H24" s="37" t="inlineStr">
        <is>
          <t>Filadelfia, USA</t>
        </is>
      </c>
    </row>
    <row r="25">
      <c r="A25" s="35" t="n">
        <v>23</v>
      </c>
      <c r="B25" s="36" t="inlineStr">
        <is>
          <t>H</t>
        </is>
      </c>
      <c r="C25" s="37" t="inlineStr">
        <is>
          <t>Serbia</t>
        </is>
      </c>
      <c r="D25" s="37" t="inlineStr">
        <is>
          <t>Inglaterra</t>
        </is>
      </c>
      <c r="E25" s="35" t="inlineStr">
        <is>
          <t>17/06/2026</t>
        </is>
      </c>
      <c r="F25" s="35" t="inlineStr">
        <is>
          <t>15:00</t>
        </is>
      </c>
      <c r="G25" s="37" t="inlineStr">
        <is>
          <t>Allegiant Stadium</t>
        </is>
      </c>
      <c r="H25" s="37" t="inlineStr">
        <is>
          <t>Las Vegas, USA</t>
        </is>
      </c>
    </row>
    <row r="26">
      <c r="A26" s="35" t="n">
        <v>24</v>
      </c>
      <c r="B26" s="36" t="inlineStr">
        <is>
          <t>H</t>
        </is>
      </c>
      <c r="C26" s="37" t="inlineStr">
        <is>
          <t>Eslovaquia</t>
        </is>
      </c>
      <c r="D26" s="37" t="inlineStr">
        <is>
          <t>Serbia</t>
        </is>
      </c>
      <c r="E26" s="35" t="inlineStr">
        <is>
          <t>21/06/2026</t>
        </is>
      </c>
      <c r="F26" s="35" t="inlineStr">
        <is>
          <t>15:00</t>
        </is>
      </c>
      <c r="G26" s="37" t="inlineStr">
        <is>
          <t>Estadio Akron</t>
        </is>
      </c>
      <c r="H26" s="37" t="inlineStr">
        <is>
          <t>Guadalajara, MEX</t>
        </is>
      </c>
    </row>
    <row r="27">
      <c r="A27" s="38" t="n">
        <v>25</v>
      </c>
      <c r="B27" s="39" t="inlineStr">
        <is>
          <t>I</t>
        </is>
      </c>
      <c r="C27" s="40" t="inlineStr">
        <is>
          <t>Croacia</t>
        </is>
      </c>
      <c r="D27" s="40" t="inlineStr">
        <is>
          <t>Rep. Checa</t>
        </is>
      </c>
      <c r="E27" s="38" t="inlineStr">
        <is>
          <t>13/06/2026</t>
        </is>
      </c>
      <c r="F27" s="38" t="inlineStr">
        <is>
          <t>18:00</t>
        </is>
      </c>
      <c r="G27" s="40" t="inlineStr">
        <is>
          <t>Levi's Stadium</t>
        </is>
      </c>
      <c r="H27" s="40" t="inlineStr">
        <is>
          <t>San Francisco, USA</t>
        </is>
      </c>
    </row>
    <row r="28">
      <c r="A28" s="38" t="n">
        <v>26</v>
      </c>
      <c r="B28" s="39" t="inlineStr">
        <is>
          <t>I</t>
        </is>
      </c>
      <c r="C28" s="40" t="inlineStr">
        <is>
          <t>Turquía</t>
        </is>
      </c>
      <c r="D28" s="40" t="inlineStr">
        <is>
          <t>Croacia</t>
        </is>
      </c>
      <c r="E28" s="38" t="inlineStr">
        <is>
          <t>17/06/2026</t>
        </is>
      </c>
      <c r="F28" s="38" t="inlineStr">
        <is>
          <t>18:00</t>
        </is>
      </c>
      <c r="G28" s="40" t="inlineStr">
        <is>
          <t>Gillette Stadium</t>
        </is>
      </c>
      <c r="H28" s="40" t="inlineStr">
        <is>
          <t>Boston, USA</t>
        </is>
      </c>
    </row>
    <row r="29">
      <c r="A29" s="38" t="n">
        <v>27</v>
      </c>
      <c r="B29" s="39" t="inlineStr">
        <is>
          <t>I</t>
        </is>
      </c>
      <c r="C29" s="40" t="inlineStr">
        <is>
          <t>Rep. Checa</t>
        </is>
      </c>
      <c r="D29" s="40" t="inlineStr">
        <is>
          <t>Turquía</t>
        </is>
      </c>
      <c r="E29" s="38" t="inlineStr">
        <is>
          <t>21/06/2026</t>
        </is>
      </c>
      <c r="F29" s="38" t="inlineStr">
        <is>
          <t>18:00</t>
        </is>
      </c>
      <c r="G29" s="40" t="inlineStr">
        <is>
          <t>BC Place</t>
        </is>
      </c>
      <c r="H29" s="40" t="inlineStr">
        <is>
          <t>Vancouver, CAN</t>
        </is>
      </c>
    </row>
    <row r="30">
      <c r="A30" s="41" t="n">
        <v>28</v>
      </c>
      <c r="B30" s="42" t="inlineStr">
        <is>
          <t>J</t>
        </is>
      </c>
      <c r="C30" s="43" t="inlineStr">
        <is>
          <t>Polonia</t>
        </is>
      </c>
      <c r="D30" s="43" t="inlineStr">
        <is>
          <t>Austria</t>
        </is>
      </c>
      <c r="E30" s="41" t="inlineStr">
        <is>
          <t>13/06/2026</t>
        </is>
      </c>
      <c r="F30" s="41" t="inlineStr">
        <is>
          <t>21:00</t>
        </is>
      </c>
      <c r="G30" s="43" t="inlineStr">
        <is>
          <t>Rose Bowl</t>
        </is>
      </c>
      <c r="H30" s="43" t="inlineStr">
        <is>
          <t>Los Ángeles, USA</t>
        </is>
      </c>
    </row>
    <row r="31">
      <c r="A31" s="41" t="n">
        <v>29</v>
      </c>
      <c r="B31" s="42" t="inlineStr">
        <is>
          <t>J</t>
        </is>
      </c>
      <c r="C31" s="43" t="inlineStr">
        <is>
          <t>Rumania</t>
        </is>
      </c>
      <c r="D31" s="43" t="inlineStr">
        <is>
          <t>Polonia</t>
        </is>
      </c>
      <c r="E31" s="41" t="inlineStr">
        <is>
          <t>17/06/2026</t>
        </is>
      </c>
      <c r="F31" s="41" t="inlineStr">
        <is>
          <t>21:00</t>
        </is>
      </c>
      <c r="G31" s="43" t="inlineStr">
        <is>
          <t>BMO Field</t>
        </is>
      </c>
      <c r="H31" s="43" t="inlineStr">
        <is>
          <t>Toronto, CAN</t>
        </is>
      </c>
    </row>
    <row r="32">
      <c r="A32" s="41" t="n">
        <v>30</v>
      </c>
      <c r="B32" s="42" t="inlineStr">
        <is>
          <t>J</t>
        </is>
      </c>
      <c r="C32" s="43" t="inlineStr">
        <is>
          <t>Austria</t>
        </is>
      </c>
      <c r="D32" s="43" t="inlineStr">
        <is>
          <t>Rumania</t>
        </is>
      </c>
      <c r="E32" s="41" t="inlineStr">
        <is>
          <t>21/06/2026</t>
        </is>
      </c>
      <c r="F32" s="41" t="inlineStr">
        <is>
          <t>21:00</t>
        </is>
      </c>
      <c r="G32" s="43" t="inlineStr">
        <is>
          <t>Lumen Field</t>
        </is>
      </c>
      <c r="H32" s="43" t="inlineStr">
        <is>
          <t>Seattle, USA</t>
        </is>
      </c>
    </row>
    <row r="33">
      <c r="A33" s="44" t="n">
        <v>31</v>
      </c>
      <c r="B33" s="45" t="inlineStr">
        <is>
          <t>K</t>
        </is>
      </c>
      <c r="C33" s="46" t="inlineStr">
        <is>
          <t>Japón</t>
        </is>
      </c>
      <c r="D33" s="46" t="inlineStr">
        <is>
          <t>Australia</t>
        </is>
      </c>
      <c r="E33" s="44" t="inlineStr">
        <is>
          <t>14/06/2026</t>
        </is>
      </c>
      <c r="F33" s="44" t="inlineStr">
        <is>
          <t>12:00</t>
        </is>
      </c>
      <c r="G33" s="46" t="inlineStr">
        <is>
          <t>Arrowhead Stadium</t>
        </is>
      </c>
      <c r="H33" s="46" t="inlineStr">
        <is>
          <t>Kansas City, USA</t>
        </is>
      </c>
    </row>
    <row r="34">
      <c r="A34" s="44" t="n">
        <v>32</v>
      </c>
      <c r="B34" s="45" t="inlineStr">
        <is>
          <t>K</t>
        </is>
      </c>
      <c r="C34" s="46" t="inlineStr">
        <is>
          <t>Arabia Saudita</t>
        </is>
      </c>
      <c r="D34" s="46" t="inlineStr">
        <is>
          <t>Japón</t>
        </is>
      </c>
      <c r="E34" s="44" t="inlineStr">
        <is>
          <t>18/06/2026</t>
        </is>
      </c>
      <c r="F34" s="44" t="inlineStr">
        <is>
          <t>12:00</t>
        </is>
      </c>
      <c r="G34" s="46" t="inlineStr">
        <is>
          <t>Mercedes-Benz Stad.</t>
        </is>
      </c>
      <c r="H34" s="46" t="inlineStr">
        <is>
          <t>Atlanta, USA</t>
        </is>
      </c>
    </row>
    <row r="35">
      <c r="A35" s="44" t="n">
        <v>33</v>
      </c>
      <c r="B35" s="45" t="inlineStr">
        <is>
          <t>K</t>
        </is>
      </c>
      <c r="C35" s="46" t="inlineStr">
        <is>
          <t>Australia</t>
        </is>
      </c>
      <c r="D35" s="46" t="inlineStr">
        <is>
          <t>Arabia Saudita</t>
        </is>
      </c>
      <c r="E35" s="44" t="inlineStr">
        <is>
          <t>22/06/2026</t>
        </is>
      </c>
      <c r="F35" s="44" t="inlineStr">
        <is>
          <t>12:00</t>
        </is>
      </c>
      <c r="G35" s="46" t="inlineStr">
        <is>
          <t>Estadio Azteca</t>
        </is>
      </c>
      <c r="H35" s="46" t="inlineStr">
        <is>
          <t>Ciudad de México, MEX</t>
        </is>
      </c>
    </row>
    <row r="36">
      <c r="A36" s="47" t="n">
        <v>34</v>
      </c>
      <c r="B36" s="48" t="inlineStr">
        <is>
          <t>L</t>
        </is>
      </c>
      <c r="C36" s="49" t="inlineStr">
        <is>
          <t>Corea del Sur</t>
        </is>
      </c>
      <c r="D36" s="49" t="inlineStr">
        <is>
          <t>Irán</t>
        </is>
      </c>
      <c r="E36" s="47" t="inlineStr">
        <is>
          <t>14/06/2026</t>
        </is>
      </c>
      <c r="F36" s="47" t="inlineStr">
        <is>
          <t>15:00</t>
        </is>
      </c>
      <c r="G36" s="49" t="inlineStr">
        <is>
          <t>SoFi Stadium</t>
        </is>
      </c>
      <c r="H36" s="49" t="inlineStr">
        <is>
          <t>Los Ángeles, USA</t>
        </is>
      </c>
    </row>
    <row r="37">
      <c r="A37" s="47" t="n">
        <v>35</v>
      </c>
      <c r="B37" s="48" t="inlineStr">
        <is>
          <t>L</t>
        </is>
      </c>
      <c r="C37" s="49" t="inlineStr">
        <is>
          <t>Uzbekistán</t>
        </is>
      </c>
      <c r="D37" s="49" t="inlineStr">
        <is>
          <t>Corea del Sur</t>
        </is>
      </c>
      <c r="E37" s="47" t="inlineStr">
        <is>
          <t>18/06/2026</t>
        </is>
      </c>
      <c r="F37" s="47" t="inlineStr">
        <is>
          <t>15:00</t>
        </is>
      </c>
      <c r="G37" s="49" t="inlineStr">
        <is>
          <t>AT&amp;T Stadium</t>
        </is>
      </c>
      <c r="H37" s="49" t="inlineStr">
        <is>
          <t>Dallas, USA</t>
        </is>
      </c>
    </row>
    <row r="38">
      <c r="A38" s="47" t="n">
        <v>36</v>
      </c>
      <c r="B38" s="48" t="inlineStr">
        <is>
          <t>L</t>
        </is>
      </c>
      <c r="C38" s="49" t="inlineStr">
        <is>
          <t>Irán</t>
        </is>
      </c>
      <c r="D38" s="49" t="inlineStr">
        <is>
          <t>Uzbekistán</t>
        </is>
      </c>
      <c r="E38" s="47" t="inlineStr">
        <is>
          <t>22/06/2026</t>
        </is>
      </c>
      <c r="F38" s="47" t="inlineStr">
        <is>
          <t>15:00</t>
        </is>
      </c>
      <c r="G38" s="49" t="inlineStr">
        <is>
          <t>Estadio BBVA</t>
        </is>
      </c>
      <c r="H38" s="49" t="inlineStr">
        <is>
          <t>Monterrey, MEX</t>
        </is>
      </c>
    </row>
    <row r="39">
      <c r="A39" s="50" t="n">
        <v>37</v>
      </c>
      <c r="B39" s="51" t="inlineStr">
        <is>
          <t>M</t>
        </is>
      </c>
      <c r="C39" s="52" t="inlineStr">
        <is>
          <t>Senegal</t>
        </is>
      </c>
      <c r="D39" s="52" t="inlineStr">
        <is>
          <t>Nigeria</t>
        </is>
      </c>
      <c r="E39" s="50" t="inlineStr">
        <is>
          <t>14/06/2026</t>
        </is>
      </c>
      <c r="F39" s="50" t="inlineStr">
        <is>
          <t>18:00</t>
        </is>
      </c>
      <c r="G39" s="52" t="inlineStr">
        <is>
          <t>MetLife Stadium</t>
        </is>
      </c>
      <c r="H39" s="52" t="inlineStr">
        <is>
          <t>Nueva York, USA</t>
        </is>
      </c>
    </row>
    <row r="40">
      <c r="A40" s="50" t="n">
        <v>38</v>
      </c>
      <c r="B40" s="51" t="inlineStr">
        <is>
          <t>M</t>
        </is>
      </c>
      <c r="C40" s="52" t="inlineStr">
        <is>
          <t>Sudáfrica</t>
        </is>
      </c>
      <c r="D40" s="52" t="inlineStr">
        <is>
          <t>Senegal</t>
        </is>
      </c>
      <c r="E40" s="50" t="inlineStr">
        <is>
          <t>18/06/2026</t>
        </is>
      </c>
      <c r="F40" s="50" t="inlineStr">
        <is>
          <t>18:00</t>
        </is>
      </c>
      <c r="G40" s="52" t="inlineStr">
        <is>
          <t>Gillette Stadium</t>
        </is>
      </c>
      <c r="H40" s="52" t="inlineStr">
        <is>
          <t>Boston, USA</t>
        </is>
      </c>
    </row>
    <row r="41">
      <c r="A41" s="50" t="n">
        <v>39</v>
      </c>
      <c r="B41" s="51" t="inlineStr">
        <is>
          <t>M</t>
        </is>
      </c>
      <c r="C41" s="52" t="inlineStr">
        <is>
          <t>Nigeria</t>
        </is>
      </c>
      <c r="D41" s="52" t="inlineStr">
        <is>
          <t>Sudáfrica</t>
        </is>
      </c>
      <c r="E41" s="50" t="inlineStr">
        <is>
          <t>22/06/2026</t>
        </is>
      </c>
      <c r="F41" s="50" t="inlineStr">
        <is>
          <t>18:00</t>
        </is>
      </c>
      <c r="G41" s="52" t="inlineStr">
        <is>
          <t>Allegiant Stadium</t>
        </is>
      </c>
      <c r="H41" s="52" t="inlineStr">
        <is>
          <t>Las Vegas, USA</t>
        </is>
      </c>
    </row>
    <row r="42">
      <c r="A42" s="17" t="n">
        <v>40</v>
      </c>
      <c r="B42" s="18" t="inlineStr">
        <is>
          <t>N</t>
        </is>
      </c>
      <c r="C42" s="19" t="inlineStr">
        <is>
          <t>Egipto</t>
        </is>
      </c>
      <c r="D42" s="19" t="inlineStr">
        <is>
          <t>Costa de Marfil</t>
        </is>
      </c>
      <c r="E42" s="17" t="inlineStr">
        <is>
          <t>14/06/2026</t>
        </is>
      </c>
      <c r="F42" s="17" t="inlineStr">
        <is>
          <t>21:00</t>
        </is>
      </c>
      <c r="G42" s="19" t="inlineStr">
        <is>
          <t>Hard Rock Stadium</t>
        </is>
      </c>
      <c r="H42" s="19" t="inlineStr">
        <is>
          <t>Miami, USA</t>
        </is>
      </c>
    </row>
    <row r="43">
      <c r="A43" s="17" t="n">
        <v>41</v>
      </c>
      <c r="B43" s="18" t="inlineStr">
        <is>
          <t>N</t>
        </is>
      </c>
      <c r="C43" s="19" t="inlineStr">
        <is>
          <t>Argelia</t>
        </is>
      </c>
      <c r="D43" s="19" t="inlineStr">
        <is>
          <t>Egipto</t>
        </is>
      </c>
      <c r="E43" s="17" t="inlineStr">
        <is>
          <t>18/06/2026</t>
        </is>
      </c>
      <c r="F43" s="17" t="inlineStr">
        <is>
          <t>21:00</t>
        </is>
      </c>
      <c r="G43" s="19" t="inlineStr">
        <is>
          <t>Lincoln Financial</t>
        </is>
      </c>
      <c r="H43" s="19" t="inlineStr">
        <is>
          <t>Filadelfia, USA</t>
        </is>
      </c>
    </row>
    <row r="44">
      <c r="A44" s="17" t="n">
        <v>42</v>
      </c>
      <c r="B44" s="18" t="inlineStr">
        <is>
          <t>N</t>
        </is>
      </c>
      <c r="C44" s="19" t="inlineStr">
        <is>
          <t>Costa de Marfil</t>
        </is>
      </c>
      <c r="D44" s="19" t="inlineStr">
        <is>
          <t>Argelia</t>
        </is>
      </c>
      <c r="E44" s="17" t="inlineStr">
        <is>
          <t>22/06/2026</t>
        </is>
      </c>
      <c r="F44" s="17" t="inlineStr">
        <is>
          <t>21:00</t>
        </is>
      </c>
      <c r="G44" s="19" t="inlineStr">
        <is>
          <t>BC Place</t>
        </is>
      </c>
      <c r="H44" s="19" t="inlineStr">
        <is>
          <t>Vancouver, CAN</t>
        </is>
      </c>
    </row>
    <row r="45">
      <c r="A45" s="53" t="n">
        <v>43</v>
      </c>
      <c r="B45" s="54" t="inlineStr">
        <is>
          <t>O</t>
        </is>
      </c>
      <c r="C45" s="55" t="inlineStr">
        <is>
          <t>Suiza</t>
        </is>
      </c>
      <c r="D45" s="55" t="inlineStr">
        <is>
          <t>Dinamarca</t>
        </is>
      </c>
      <c r="E45" s="53" t="inlineStr">
        <is>
          <t>15/06/2026</t>
        </is>
      </c>
      <c r="F45" s="53" t="inlineStr">
        <is>
          <t>12:00</t>
        </is>
      </c>
      <c r="G45" s="55" t="inlineStr">
        <is>
          <t>Rose Bowl</t>
        </is>
      </c>
      <c r="H45" s="55" t="inlineStr">
        <is>
          <t>Los Ángeles, USA</t>
        </is>
      </c>
    </row>
    <row r="46">
      <c r="A46" s="53" t="n">
        <v>44</v>
      </c>
      <c r="B46" s="54" t="inlineStr">
        <is>
          <t>O</t>
        </is>
      </c>
      <c r="C46" s="55" t="inlineStr">
        <is>
          <t>Escocia</t>
        </is>
      </c>
      <c r="D46" s="55" t="inlineStr">
        <is>
          <t>Suiza</t>
        </is>
      </c>
      <c r="E46" s="53" t="inlineStr">
        <is>
          <t>19/06/2026</t>
        </is>
      </c>
      <c r="F46" s="53" t="inlineStr">
        <is>
          <t>12:00</t>
        </is>
      </c>
      <c r="G46" s="55" t="inlineStr">
        <is>
          <t>Arrowhead Stadium</t>
        </is>
      </c>
      <c r="H46" s="55" t="inlineStr">
        <is>
          <t>Kansas City, USA</t>
        </is>
      </c>
    </row>
    <row r="47">
      <c r="A47" s="53" t="n">
        <v>45</v>
      </c>
      <c r="B47" s="54" t="inlineStr">
        <is>
          <t>O</t>
        </is>
      </c>
      <c r="C47" s="55" t="inlineStr">
        <is>
          <t>Dinamarca</t>
        </is>
      </c>
      <c r="D47" s="55" t="inlineStr">
        <is>
          <t>Escocia</t>
        </is>
      </c>
      <c r="E47" s="53" t="inlineStr">
        <is>
          <t>23/06/2026</t>
        </is>
      </c>
      <c r="F47" s="53" t="inlineStr">
        <is>
          <t>12:00</t>
        </is>
      </c>
      <c r="G47" s="55" t="inlineStr">
        <is>
          <t>Mercedes-Benz Stad.</t>
        </is>
      </c>
      <c r="H47" s="55" t="inlineStr">
        <is>
          <t>Atlanta, USA</t>
        </is>
      </c>
    </row>
    <row r="48">
      <c r="A48" s="56" t="n">
        <v>46</v>
      </c>
      <c r="B48" s="57" t="inlineStr">
        <is>
          <t>P</t>
        </is>
      </c>
      <c r="C48" s="58" t="inlineStr">
        <is>
          <t>Venezuela</t>
        </is>
      </c>
      <c r="D48" s="58" t="inlineStr">
        <is>
          <t>Perú</t>
        </is>
      </c>
      <c r="E48" s="56" t="inlineStr">
        <is>
          <t>15/06/2026</t>
        </is>
      </c>
      <c r="F48" s="56" t="inlineStr">
        <is>
          <t>15:00</t>
        </is>
      </c>
      <c r="G48" s="58" t="inlineStr">
        <is>
          <t>BMO Field</t>
        </is>
      </c>
      <c r="H48" s="58" t="inlineStr">
        <is>
          <t>Toronto, CAN</t>
        </is>
      </c>
    </row>
    <row r="49">
      <c r="A49" s="56" t="n">
        <v>47</v>
      </c>
      <c r="B49" s="57" t="inlineStr">
        <is>
          <t>P</t>
        </is>
      </c>
      <c r="C49" s="58" t="inlineStr">
        <is>
          <t>Bolivia</t>
        </is>
      </c>
      <c r="D49" s="58" t="inlineStr">
        <is>
          <t>Venezuela</t>
        </is>
      </c>
      <c r="E49" s="56" t="inlineStr">
        <is>
          <t>19/06/2026</t>
        </is>
      </c>
      <c r="F49" s="56" t="inlineStr">
        <is>
          <t>15:00</t>
        </is>
      </c>
      <c r="G49" s="58" t="inlineStr">
        <is>
          <t>Est. Universitario</t>
        </is>
      </c>
      <c r="H49" s="58" t="inlineStr">
        <is>
          <t>Monterrey, MEX</t>
        </is>
      </c>
    </row>
    <row r="50">
      <c r="A50" s="56" t="n">
        <v>48</v>
      </c>
      <c r="B50" s="57" t="inlineStr">
        <is>
          <t>P</t>
        </is>
      </c>
      <c r="C50" s="58" t="inlineStr">
        <is>
          <t>Perú</t>
        </is>
      </c>
      <c r="D50" s="58" t="inlineStr">
        <is>
          <t>Bolivia</t>
        </is>
      </c>
      <c r="E50" s="56" t="inlineStr">
        <is>
          <t>23/06/2026</t>
        </is>
      </c>
      <c r="F50" s="56" t="inlineStr">
        <is>
          <t>15:00</t>
        </is>
      </c>
      <c r="G50" s="58" t="inlineStr">
        <is>
          <t>Lumen Field</t>
        </is>
      </c>
      <c r="H50" s="58" t="inlineStr">
        <is>
          <t>Seattle, USA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2" customWidth="1" min="3" max="3"/>
    <col width="8" customWidth="1" min="4" max="4"/>
    <col width="16" customWidth="1" min="5" max="5"/>
    <col width="16" customWidth="1" min="6" max="6"/>
    <col width="14" customWidth="1" min="7" max="7"/>
  </cols>
  <sheetData>
    <row r="1" ht="36" customHeight="1">
      <c r="A1" s="59" t="inlineStr">
        <is>
          <t>RESULTADOS REALES — INGRESAR AL FINALIZAR CADA PARTIDO</t>
        </is>
      </c>
    </row>
    <row r="2" ht="20" customHeight="1">
      <c r="A2" s="60" t="inlineStr">
        <is>
          <t>▶ Ingresá el resultado real en las columnas GOLES LOCAL y GOLES VISITANTE. Los puntajes se calculan automáticamente.</t>
        </is>
      </c>
    </row>
    <row r="3" ht="26" customHeight="1">
      <c r="A3" s="61" t="inlineStr">
        <is>
          <t>#</t>
        </is>
      </c>
      <c r="B3" s="61" t="inlineStr">
        <is>
          <t>LOCAL</t>
        </is>
      </c>
      <c r="C3" s="61" t="inlineStr">
        <is>
          <t>VISITANTE</t>
        </is>
      </c>
      <c r="D3" s="61" t="inlineStr">
        <is>
          <t>GRUPO</t>
        </is>
      </c>
      <c r="E3" s="61" t="inlineStr">
        <is>
          <t>GOLES LOCAL ▼</t>
        </is>
      </c>
      <c r="F3" s="61" t="inlineStr">
        <is>
          <t>GOLES VISIT. ▼</t>
        </is>
      </c>
      <c r="G3" s="61" t="inlineStr">
        <is>
          <t>ESTADO</t>
        </is>
      </c>
    </row>
    <row r="4">
      <c r="A4" s="12" t="n">
        <v>1</v>
      </c>
      <c r="B4" s="12" t="inlineStr">
        <is>
          <t>Estados Unidos</t>
        </is>
      </c>
      <c r="C4" s="12" t="inlineStr">
        <is>
          <t>Canadá</t>
        </is>
      </c>
      <c r="D4" s="12" t="inlineStr">
        <is>
          <t>A</t>
        </is>
      </c>
      <c r="E4" s="62" t="n">
        <v>0</v>
      </c>
      <c r="F4" s="62" t="n">
        <v>0</v>
      </c>
      <c r="G4" s="12">
        <f>IF(E4=""," Sin resultado","✓ Ingresado")</f>
        <v/>
      </c>
    </row>
    <row r="5">
      <c r="A5" s="63" t="n">
        <v>2</v>
      </c>
      <c r="B5" s="63" t="inlineStr">
        <is>
          <t>Uruguay</t>
        </is>
      </c>
      <c r="C5" s="63" t="inlineStr">
        <is>
          <t>Estados Unidos</t>
        </is>
      </c>
      <c r="D5" s="63" t="inlineStr">
        <is>
          <t>A</t>
        </is>
      </c>
      <c r="E5" s="64" t="n">
        <v>0</v>
      </c>
      <c r="F5" s="64" t="n">
        <v>0</v>
      </c>
      <c r="G5" s="63">
        <f>IF(E5=""," Sin resultado","✓ Ingresado")</f>
        <v/>
      </c>
    </row>
    <row r="6">
      <c r="A6" s="12" t="n">
        <v>3</v>
      </c>
      <c r="B6" s="12" t="inlineStr">
        <is>
          <t>Canadá</t>
        </is>
      </c>
      <c r="C6" s="12" t="inlineStr">
        <is>
          <t>Uruguay</t>
        </is>
      </c>
      <c r="D6" s="12" t="inlineStr">
        <is>
          <t>A</t>
        </is>
      </c>
      <c r="E6" s="62" t="n">
        <v>0</v>
      </c>
      <c r="F6" s="62" t="n">
        <v>0</v>
      </c>
      <c r="G6" s="12">
        <f>IF(E6=""," Sin resultado","✓ Ingresado")</f>
        <v/>
      </c>
    </row>
    <row r="7">
      <c r="A7" s="63" t="n">
        <v>4</v>
      </c>
      <c r="B7" s="63" t="inlineStr">
        <is>
          <t>México</t>
        </is>
      </c>
      <c r="C7" s="63" t="inlineStr">
        <is>
          <t>Ecuador</t>
        </is>
      </c>
      <c r="D7" s="63" t="inlineStr">
        <is>
          <t>B</t>
        </is>
      </c>
      <c r="E7" s="64" t="n">
        <v>0</v>
      </c>
      <c r="F7" s="64" t="n">
        <v>0</v>
      </c>
      <c r="G7" s="63">
        <f>IF(E7=""," Sin resultado","✓ Ingresado")</f>
        <v/>
      </c>
    </row>
    <row r="8">
      <c r="A8" s="12" t="n">
        <v>5</v>
      </c>
      <c r="B8" s="12" t="inlineStr">
        <is>
          <t>Jamaica</t>
        </is>
      </c>
      <c r="C8" s="12" t="inlineStr">
        <is>
          <t>México</t>
        </is>
      </c>
      <c r="D8" s="12" t="inlineStr">
        <is>
          <t>B</t>
        </is>
      </c>
      <c r="E8" s="62" t="n">
        <v>0</v>
      </c>
      <c r="F8" s="62" t="n">
        <v>0</v>
      </c>
      <c r="G8" s="12">
        <f>IF(E8=""," Sin resultado","✓ Ingresado")</f>
        <v/>
      </c>
    </row>
    <row r="9">
      <c r="A9" s="63" t="n">
        <v>6</v>
      </c>
      <c r="B9" s="63" t="inlineStr">
        <is>
          <t>Ecuador</t>
        </is>
      </c>
      <c r="C9" s="63" t="inlineStr">
        <is>
          <t>Jamaica</t>
        </is>
      </c>
      <c r="D9" s="63" t="inlineStr">
        <is>
          <t>B</t>
        </is>
      </c>
      <c r="E9" s="64" t="n">
        <v>0</v>
      </c>
      <c r="F9" s="64" t="n">
        <v>0</v>
      </c>
      <c r="G9" s="63">
        <f>IF(E9=""," Sin resultado","✓ Ingresado")</f>
        <v/>
      </c>
    </row>
    <row r="10">
      <c r="A10" s="12" t="n">
        <v>7</v>
      </c>
      <c r="B10" s="12" t="inlineStr">
        <is>
          <t>Argentina</t>
        </is>
      </c>
      <c r="C10" s="12" t="inlineStr">
        <is>
          <t>Chile</t>
        </is>
      </c>
      <c r="D10" s="12" t="inlineStr">
        <is>
          <t>C</t>
        </is>
      </c>
      <c r="E10" s="62" t="n">
        <v>0</v>
      </c>
      <c r="F10" s="62" t="n">
        <v>0</v>
      </c>
      <c r="G10" s="12">
        <f>IF(E10=""," Sin resultado","✓ Ingresado")</f>
        <v/>
      </c>
    </row>
    <row r="11">
      <c r="A11" s="63" t="n">
        <v>8</v>
      </c>
      <c r="B11" s="63" t="inlineStr">
        <is>
          <t>Albania</t>
        </is>
      </c>
      <c r="C11" s="63" t="inlineStr">
        <is>
          <t>Argentina</t>
        </is>
      </c>
      <c r="D11" s="63" t="inlineStr">
        <is>
          <t>C</t>
        </is>
      </c>
      <c r="E11" s="64" t="n">
        <v>0</v>
      </c>
      <c r="F11" s="64" t="n">
        <v>0</v>
      </c>
      <c r="G11" s="63">
        <f>IF(E11=""," Sin resultado","✓ Ingresado")</f>
        <v/>
      </c>
    </row>
    <row r="12">
      <c r="A12" s="12" t="n">
        <v>9</v>
      </c>
      <c r="B12" s="12" t="inlineStr">
        <is>
          <t>Chile</t>
        </is>
      </c>
      <c r="C12" s="12" t="inlineStr">
        <is>
          <t>Albania</t>
        </is>
      </c>
      <c r="D12" s="12" t="inlineStr">
        <is>
          <t>C</t>
        </is>
      </c>
      <c r="E12" s="62" t="n">
        <v>0</v>
      </c>
      <c r="F12" s="62" t="n">
        <v>0</v>
      </c>
      <c r="G12" s="12">
        <f>IF(E12=""," Sin resultado","✓ Ingresado")</f>
        <v/>
      </c>
    </row>
    <row r="13">
      <c r="A13" s="63" t="n">
        <v>10</v>
      </c>
      <c r="B13" s="63" t="inlineStr">
        <is>
          <t>Brasil</t>
        </is>
      </c>
      <c r="C13" s="63" t="inlineStr">
        <is>
          <t>Colombia</t>
        </is>
      </c>
      <c r="D13" s="63" t="inlineStr">
        <is>
          <t>D</t>
        </is>
      </c>
      <c r="E13" s="64" t="n">
        <v>0</v>
      </c>
      <c r="F13" s="64" t="n">
        <v>0</v>
      </c>
      <c r="G13" s="63">
        <f>IF(E13=""," Sin resultado","✓ Ingresado")</f>
        <v/>
      </c>
    </row>
    <row r="14">
      <c r="A14" s="12" t="n">
        <v>11</v>
      </c>
      <c r="B14" s="12" t="inlineStr">
        <is>
          <t>Panamá</t>
        </is>
      </c>
      <c r="C14" s="12" t="inlineStr">
        <is>
          <t>Brasil</t>
        </is>
      </c>
      <c r="D14" s="12" t="inlineStr">
        <is>
          <t>D</t>
        </is>
      </c>
      <c r="E14" s="62" t="n">
        <v>0</v>
      </c>
      <c r="F14" s="62" t="n">
        <v>0</v>
      </c>
      <c r="G14" s="12">
        <f>IF(E14=""," Sin resultado","✓ Ingresado")</f>
        <v/>
      </c>
    </row>
    <row r="15">
      <c r="A15" s="63" t="n">
        <v>12</v>
      </c>
      <c r="B15" s="63" t="inlineStr">
        <is>
          <t>Colombia</t>
        </is>
      </c>
      <c r="C15" s="63" t="inlineStr">
        <is>
          <t>Panamá</t>
        </is>
      </c>
      <c r="D15" s="63" t="inlineStr">
        <is>
          <t>D</t>
        </is>
      </c>
      <c r="E15" s="64" t="n">
        <v>0</v>
      </c>
      <c r="F15" s="64" t="n">
        <v>0</v>
      </c>
      <c r="G15" s="63">
        <f>IF(E15=""," Sin resultado","✓ Ingresado")</f>
        <v/>
      </c>
    </row>
    <row r="16">
      <c r="A16" s="12" t="n">
        <v>13</v>
      </c>
      <c r="B16" s="12" t="inlineStr">
        <is>
          <t>España</t>
        </is>
      </c>
      <c r="C16" s="12" t="inlineStr">
        <is>
          <t>Marruecos</t>
        </is>
      </c>
      <c r="D16" s="12" t="inlineStr">
        <is>
          <t>E</t>
        </is>
      </c>
      <c r="E16" s="62" t="n">
        <v>0</v>
      </c>
      <c r="F16" s="62" t="n">
        <v>0</v>
      </c>
      <c r="G16" s="12">
        <f>IF(E16=""," Sin resultado","✓ Ingresado")</f>
        <v/>
      </c>
    </row>
    <row r="17">
      <c r="A17" s="63" t="n">
        <v>14</v>
      </c>
      <c r="B17" s="63" t="inlineStr">
        <is>
          <t>Portugal</t>
        </is>
      </c>
      <c r="C17" s="63" t="inlineStr">
        <is>
          <t>España</t>
        </is>
      </c>
      <c r="D17" s="63" t="inlineStr">
        <is>
          <t>E</t>
        </is>
      </c>
      <c r="E17" s="64" t="n">
        <v>0</v>
      </c>
      <c r="F17" s="64" t="n">
        <v>0</v>
      </c>
      <c r="G17" s="63">
        <f>IF(E17=""," Sin resultado","✓ Ingresado")</f>
        <v/>
      </c>
    </row>
    <row r="18">
      <c r="A18" s="12" t="n">
        <v>15</v>
      </c>
      <c r="B18" s="12" t="inlineStr">
        <is>
          <t>Marruecos</t>
        </is>
      </c>
      <c r="C18" s="12" t="inlineStr">
        <is>
          <t>Portugal</t>
        </is>
      </c>
      <c r="D18" s="12" t="inlineStr">
        <is>
          <t>E</t>
        </is>
      </c>
      <c r="E18" s="62" t="n">
        <v>0</v>
      </c>
      <c r="F18" s="62" t="n">
        <v>0</v>
      </c>
      <c r="G18" s="12">
        <f>IF(E18=""," Sin resultado","✓ Ingresado")</f>
        <v/>
      </c>
    </row>
    <row r="19">
      <c r="A19" s="63" t="n">
        <v>16</v>
      </c>
      <c r="B19" s="63" t="inlineStr">
        <is>
          <t>Francia</t>
        </is>
      </c>
      <c r="C19" s="63" t="inlineStr">
        <is>
          <t>Bélgica</t>
        </is>
      </c>
      <c r="D19" s="63" t="inlineStr">
        <is>
          <t>F</t>
        </is>
      </c>
      <c r="E19" s="64" t="n">
        <v>0</v>
      </c>
      <c r="F19" s="64" t="n">
        <v>0</v>
      </c>
      <c r="G19" s="63">
        <f>IF(E19=""," Sin resultado","✓ Ingresado")</f>
        <v/>
      </c>
    </row>
    <row r="20">
      <c r="A20" s="12" t="n">
        <v>17</v>
      </c>
      <c r="B20" s="12" t="inlineStr">
        <is>
          <t>Italia</t>
        </is>
      </c>
      <c r="C20" s="12" t="inlineStr">
        <is>
          <t>Francia</t>
        </is>
      </c>
      <c r="D20" s="12" t="inlineStr">
        <is>
          <t>F</t>
        </is>
      </c>
      <c r="E20" s="62" t="n">
        <v>0</v>
      </c>
      <c r="F20" s="62" t="n">
        <v>0</v>
      </c>
      <c r="G20" s="12">
        <f>IF(E20=""," Sin resultado","✓ Ingresado")</f>
        <v/>
      </c>
    </row>
    <row r="21">
      <c r="A21" s="63" t="n">
        <v>18</v>
      </c>
      <c r="B21" s="63" t="inlineStr">
        <is>
          <t>Bélgica</t>
        </is>
      </c>
      <c r="C21" s="63" t="inlineStr">
        <is>
          <t>Italia</t>
        </is>
      </c>
      <c r="D21" s="63" t="inlineStr">
        <is>
          <t>F</t>
        </is>
      </c>
      <c r="E21" s="64" t="n">
        <v>0</v>
      </c>
      <c r="F21" s="64" t="n">
        <v>0</v>
      </c>
      <c r="G21" s="63">
        <f>IF(E21=""," Sin resultado","✓ Ingresado")</f>
        <v/>
      </c>
    </row>
    <row r="22">
      <c r="A22" s="12" t="n">
        <v>19</v>
      </c>
      <c r="B22" s="12" t="inlineStr">
        <is>
          <t>Alemania</t>
        </is>
      </c>
      <c r="C22" s="12" t="inlineStr">
        <is>
          <t>Países Bajos</t>
        </is>
      </c>
      <c r="D22" s="12" t="inlineStr">
        <is>
          <t>G</t>
        </is>
      </c>
      <c r="E22" s="62" t="n">
        <v>0</v>
      </c>
      <c r="F22" s="62" t="n">
        <v>0</v>
      </c>
      <c r="G22" s="12">
        <f>IF(E22=""," Sin resultado","✓ Ingresado")</f>
        <v/>
      </c>
    </row>
    <row r="23">
      <c r="A23" s="63" t="n">
        <v>20</v>
      </c>
      <c r="B23" s="63" t="inlineStr">
        <is>
          <t>Hungría</t>
        </is>
      </c>
      <c r="C23" s="63" t="inlineStr">
        <is>
          <t>Alemania</t>
        </is>
      </c>
      <c r="D23" s="63" t="inlineStr">
        <is>
          <t>G</t>
        </is>
      </c>
      <c r="E23" s="64" t="n">
        <v>0</v>
      </c>
      <c r="F23" s="64" t="n">
        <v>0</v>
      </c>
      <c r="G23" s="63">
        <f>IF(E23=""," Sin resultado","✓ Ingresado")</f>
        <v/>
      </c>
    </row>
    <row r="24">
      <c r="A24" s="12" t="n">
        <v>21</v>
      </c>
      <c r="B24" s="12" t="inlineStr">
        <is>
          <t>Países Bajos</t>
        </is>
      </c>
      <c r="C24" s="12" t="inlineStr">
        <is>
          <t>Hungría</t>
        </is>
      </c>
      <c r="D24" s="12" t="inlineStr">
        <is>
          <t>G</t>
        </is>
      </c>
      <c r="E24" s="62" t="n">
        <v>0</v>
      </c>
      <c r="F24" s="62" t="n">
        <v>0</v>
      </c>
      <c r="G24" s="12">
        <f>IF(E24=""," Sin resultado","✓ Ingresado")</f>
        <v/>
      </c>
    </row>
    <row r="25">
      <c r="A25" s="63" t="n">
        <v>22</v>
      </c>
      <c r="B25" s="63" t="inlineStr">
        <is>
          <t>Inglaterra</t>
        </is>
      </c>
      <c r="C25" s="63" t="inlineStr">
        <is>
          <t>Eslovaquia</t>
        </is>
      </c>
      <c r="D25" s="63" t="inlineStr">
        <is>
          <t>H</t>
        </is>
      </c>
      <c r="E25" s="64" t="n">
        <v>0</v>
      </c>
      <c r="F25" s="64" t="n">
        <v>0</v>
      </c>
      <c r="G25" s="63">
        <f>IF(E25=""," Sin resultado","✓ Ingresado")</f>
        <v/>
      </c>
    </row>
    <row r="26">
      <c r="A26" s="12" t="n">
        <v>23</v>
      </c>
      <c r="B26" s="12" t="inlineStr">
        <is>
          <t>Serbia</t>
        </is>
      </c>
      <c r="C26" s="12" t="inlineStr">
        <is>
          <t>Inglaterra</t>
        </is>
      </c>
      <c r="D26" s="12" t="inlineStr">
        <is>
          <t>H</t>
        </is>
      </c>
      <c r="E26" s="62" t="n">
        <v>0</v>
      </c>
      <c r="F26" s="62" t="n">
        <v>0</v>
      </c>
      <c r="G26" s="12">
        <f>IF(E26=""," Sin resultado","✓ Ingresado")</f>
        <v/>
      </c>
    </row>
    <row r="27">
      <c r="A27" s="63" t="n">
        <v>24</v>
      </c>
      <c r="B27" s="63" t="inlineStr">
        <is>
          <t>Eslovaquia</t>
        </is>
      </c>
      <c r="C27" s="63" t="inlineStr">
        <is>
          <t>Serbia</t>
        </is>
      </c>
      <c r="D27" s="63" t="inlineStr">
        <is>
          <t>H</t>
        </is>
      </c>
      <c r="E27" s="64" t="n">
        <v>0</v>
      </c>
      <c r="F27" s="64" t="n">
        <v>0</v>
      </c>
      <c r="G27" s="63">
        <f>IF(E27=""," Sin resultado","✓ Ingresado")</f>
        <v/>
      </c>
    </row>
    <row r="28">
      <c r="A28" s="12" t="n">
        <v>25</v>
      </c>
      <c r="B28" s="12" t="inlineStr">
        <is>
          <t>Croacia</t>
        </is>
      </c>
      <c r="C28" s="12" t="inlineStr">
        <is>
          <t>Rep. Checa</t>
        </is>
      </c>
      <c r="D28" s="12" t="inlineStr">
        <is>
          <t>I</t>
        </is>
      </c>
      <c r="E28" s="62" t="n">
        <v>0</v>
      </c>
      <c r="F28" s="62" t="n">
        <v>0</v>
      </c>
      <c r="G28" s="12">
        <f>IF(E28=""," Sin resultado","✓ Ingresado")</f>
        <v/>
      </c>
    </row>
    <row r="29">
      <c r="A29" s="63" t="n">
        <v>26</v>
      </c>
      <c r="B29" s="63" t="inlineStr">
        <is>
          <t>Turquía</t>
        </is>
      </c>
      <c r="C29" s="63" t="inlineStr">
        <is>
          <t>Croacia</t>
        </is>
      </c>
      <c r="D29" s="63" t="inlineStr">
        <is>
          <t>I</t>
        </is>
      </c>
      <c r="E29" s="64" t="n">
        <v>0</v>
      </c>
      <c r="F29" s="64" t="n">
        <v>0</v>
      </c>
      <c r="G29" s="63">
        <f>IF(E29=""," Sin resultado","✓ Ingresado")</f>
        <v/>
      </c>
    </row>
    <row r="30">
      <c r="A30" s="12" t="n">
        <v>27</v>
      </c>
      <c r="B30" s="12" t="inlineStr">
        <is>
          <t>Rep. Checa</t>
        </is>
      </c>
      <c r="C30" s="12" t="inlineStr">
        <is>
          <t>Turquía</t>
        </is>
      </c>
      <c r="D30" s="12" t="inlineStr">
        <is>
          <t>I</t>
        </is>
      </c>
      <c r="E30" s="62" t="n">
        <v>0</v>
      </c>
      <c r="F30" s="62" t="n">
        <v>0</v>
      </c>
      <c r="G30" s="12">
        <f>IF(E30=""," Sin resultado","✓ Ingresado")</f>
        <v/>
      </c>
    </row>
    <row r="31">
      <c r="A31" s="63" t="n">
        <v>28</v>
      </c>
      <c r="B31" s="63" t="inlineStr">
        <is>
          <t>Polonia</t>
        </is>
      </c>
      <c r="C31" s="63" t="inlineStr">
        <is>
          <t>Austria</t>
        </is>
      </c>
      <c r="D31" s="63" t="inlineStr">
        <is>
          <t>J</t>
        </is>
      </c>
      <c r="E31" s="64" t="n">
        <v>0</v>
      </c>
      <c r="F31" s="64" t="n">
        <v>0</v>
      </c>
      <c r="G31" s="63">
        <f>IF(E31=""," Sin resultado","✓ Ingresado")</f>
        <v/>
      </c>
    </row>
    <row r="32">
      <c r="A32" s="12" t="n">
        <v>29</v>
      </c>
      <c r="B32" s="12" t="inlineStr">
        <is>
          <t>Rumania</t>
        </is>
      </c>
      <c r="C32" s="12" t="inlineStr">
        <is>
          <t>Polonia</t>
        </is>
      </c>
      <c r="D32" s="12" t="inlineStr">
        <is>
          <t>J</t>
        </is>
      </c>
      <c r="E32" s="62" t="n">
        <v>0</v>
      </c>
      <c r="F32" s="62" t="n">
        <v>0</v>
      </c>
      <c r="G32" s="12">
        <f>IF(E32=""," Sin resultado","✓ Ingresado")</f>
        <v/>
      </c>
    </row>
    <row r="33">
      <c r="A33" s="63" t="n">
        <v>30</v>
      </c>
      <c r="B33" s="63" t="inlineStr">
        <is>
          <t>Austria</t>
        </is>
      </c>
      <c r="C33" s="63" t="inlineStr">
        <is>
          <t>Rumania</t>
        </is>
      </c>
      <c r="D33" s="63" t="inlineStr">
        <is>
          <t>J</t>
        </is>
      </c>
      <c r="E33" s="64" t="n">
        <v>0</v>
      </c>
      <c r="F33" s="64" t="n">
        <v>0</v>
      </c>
      <c r="G33" s="63">
        <f>IF(E33=""," Sin resultado","✓ Ingresado")</f>
        <v/>
      </c>
    </row>
    <row r="34">
      <c r="A34" s="12" t="n">
        <v>31</v>
      </c>
      <c r="B34" s="12" t="inlineStr">
        <is>
          <t>Japón</t>
        </is>
      </c>
      <c r="C34" s="12" t="inlineStr">
        <is>
          <t>Australia</t>
        </is>
      </c>
      <c r="D34" s="12" t="inlineStr">
        <is>
          <t>K</t>
        </is>
      </c>
      <c r="E34" s="62" t="n">
        <v>0</v>
      </c>
      <c r="F34" s="62" t="n">
        <v>0</v>
      </c>
      <c r="G34" s="12">
        <f>IF(E34=""," Sin resultado","✓ Ingresado")</f>
        <v/>
      </c>
    </row>
    <row r="35">
      <c r="A35" s="63" t="n">
        <v>32</v>
      </c>
      <c r="B35" s="63" t="inlineStr">
        <is>
          <t>Arabia Saudita</t>
        </is>
      </c>
      <c r="C35" s="63" t="inlineStr">
        <is>
          <t>Japón</t>
        </is>
      </c>
      <c r="D35" s="63" t="inlineStr">
        <is>
          <t>K</t>
        </is>
      </c>
      <c r="E35" s="64" t="n">
        <v>0</v>
      </c>
      <c r="F35" s="64" t="n">
        <v>0</v>
      </c>
      <c r="G35" s="63">
        <f>IF(E35=""," Sin resultado","✓ Ingresado")</f>
        <v/>
      </c>
    </row>
    <row r="36">
      <c r="A36" s="12" t="n">
        <v>33</v>
      </c>
      <c r="B36" s="12" t="inlineStr">
        <is>
          <t>Australia</t>
        </is>
      </c>
      <c r="C36" s="12" t="inlineStr">
        <is>
          <t>Arabia Saudita</t>
        </is>
      </c>
      <c r="D36" s="12" t="inlineStr">
        <is>
          <t>K</t>
        </is>
      </c>
      <c r="E36" s="62" t="n">
        <v>0</v>
      </c>
      <c r="F36" s="62" t="n">
        <v>0</v>
      </c>
      <c r="G36" s="12">
        <f>IF(E36=""," Sin resultado","✓ Ingresado")</f>
        <v/>
      </c>
    </row>
    <row r="37">
      <c r="A37" s="63" t="n">
        <v>34</v>
      </c>
      <c r="B37" s="63" t="inlineStr">
        <is>
          <t>Corea del Sur</t>
        </is>
      </c>
      <c r="C37" s="63" t="inlineStr">
        <is>
          <t>Irán</t>
        </is>
      </c>
      <c r="D37" s="63" t="inlineStr">
        <is>
          <t>L</t>
        </is>
      </c>
      <c r="E37" s="64" t="n">
        <v>0</v>
      </c>
      <c r="F37" s="64" t="n">
        <v>0</v>
      </c>
      <c r="G37" s="63">
        <f>IF(E37=""," Sin resultado","✓ Ingresado")</f>
        <v/>
      </c>
    </row>
    <row r="38">
      <c r="A38" s="12" t="n">
        <v>35</v>
      </c>
      <c r="B38" s="12" t="inlineStr">
        <is>
          <t>Uzbekistán</t>
        </is>
      </c>
      <c r="C38" s="12" t="inlineStr">
        <is>
          <t>Corea del Sur</t>
        </is>
      </c>
      <c r="D38" s="12" t="inlineStr">
        <is>
          <t>L</t>
        </is>
      </c>
      <c r="E38" s="62" t="n">
        <v>0</v>
      </c>
      <c r="F38" s="62" t="n">
        <v>0</v>
      </c>
      <c r="G38" s="12">
        <f>IF(E38=""," Sin resultado","✓ Ingresado")</f>
        <v/>
      </c>
    </row>
    <row r="39">
      <c r="A39" s="63" t="n">
        <v>36</v>
      </c>
      <c r="B39" s="63" t="inlineStr">
        <is>
          <t>Irán</t>
        </is>
      </c>
      <c r="C39" s="63" t="inlineStr">
        <is>
          <t>Uzbekistán</t>
        </is>
      </c>
      <c r="D39" s="63" t="inlineStr">
        <is>
          <t>L</t>
        </is>
      </c>
      <c r="E39" s="64" t="n">
        <v>0</v>
      </c>
      <c r="F39" s="64" t="n">
        <v>0</v>
      </c>
      <c r="G39" s="63">
        <f>IF(E39=""," Sin resultado","✓ Ingresado")</f>
        <v/>
      </c>
    </row>
    <row r="40">
      <c r="A40" s="12" t="n">
        <v>37</v>
      </c>
      <c r="B40" s="12" t="inlineStr">
        <is>
          <t>Senegal</t>
        </is>
      </c>
      <c r="C40" s="12" t="inlineStr">
        <is>
          <t>Nigeria</t>
        </is>
      </c>
      <c r="D40" s="12" t="inlineStr">
        <is>
          <t>M</t>
        </is>
      </c>
      <c r="E40" s="62" t="n">
        <v>0</v>
      </c>
      <c r="F40" s="62" t="n">
        <v>0</v>
      </c>
      <c r="G40" s="12">
        <f>IF(E40=""," Sin resultado","✓ Ingresado")</f>
        <v/>
      </c>
    </row>
    <row r="41">
      <c r="A41" s="63" t="n">
        <v>38</v>
      </c>
      <c r="B41" s="63" t="inlineStr">
        <is>
          <t>Sudáfrica</t>
        </is>
      </c>
      <c r="C41" s="63" t="inlineStr">
        <is>
          <t>Senegal</t>
        </is>
      </c>
      <c r="D41" s="63" t="inlineStr">
        <is>
          <t>M</t>
        </is>
      </c>
      <c r="E41" s="64" t="n">
        <v>0</v>
      </c>
      <c r="F41" s="64" t="n">
        <v>0</v>
      </c>
      <c r="G41" s="63">
        <f>IF(E41=""," Sin resultado","✓ Ingresado")</f>
        <v/>
      </c>
    </row>
    <row r="42">
      <c r="A42" s="12" t="n">
        <v>39</v>
      </c>
      <c r="B42" s="12" t="inlineStr">
        <is>
          <t>Nigeria</t>
        </is>
      </c>
      <c r="C42" s="12" t="inlineStr">
        <is>
          <t>Sudáfrica</t>
        </is>
      </c>
      <c r="D42" s="12" t="inlineStr">
        <is>
          <t>M</t>
        </is>
      </c>
      <c r="E42" s="62" t="n">
        <v>0</v>
      </c>
      <c r="F42" s="62" t="n">
        <v>0</v>
      </c>
      <c r="G42" s="12">
        <f>IF(E42=""," Sin resultado","✓ Ingresado")</f>
        <v/>
      </c>
    </row>
    <row r="43">
      <c r="A43" s="63" t="n">
        <v>40</v>
      </c>
      <c r="B43" s="63" t="inlineStr">
        <is>
          <t>Egipto</t>
        </is>
      </c>
      <c r="C43" s="63" t="inlineStr">
        <is>
          <t>Costa de Marfil</t>
        </is>
      </c>
      <c r="D43" s="63" t="inlineStr">
        <is>
          <t>N</t>
        </is>
      </c>
      <c r="E43" s="64" t="n">
        <v>0</v>
      </c>
      <c r="F43" s="64" t="n">
        <v>0</v>
      </c>
      <c r="G43" s="63">
        <f>IF(E43=""," Sin resultado","✓ Ingresado")</f>
        <v/>
      </c>
    </row>
    <row r="44">
      <c r="A44" s="12" t="n">
        <v>41</v>
      </c>
      <c r="B44" s="12" t="inlineStr">
        <is>
          <t>Argelia</t>
        </is>
      </c>
      <c r="C44" s="12" t="inlineStr">
        <is>
          <t>Egipto</t>
        </is>
      </c>
      <c r="D44" s="12" t="inlineStr">
        <is>
          <t>N</t>
        </is>
      </c>
      <c r="E44" s="62" t="n">
        <v>0</v>
      </c>
      <c r="F44" s="62" t="n">
        <v>0</v>
      </c>
      <c r="G44" s="12">
        <f>IF(E44=""," Sin resultado","✓ Ingresado")</f>
        <v/>
      </c>
    </row>
    <row r="45">
      <c r="A45" s="63" t="n">
        <v>42</v>
      </c>
      <c r="B45" s="63" t="inlineStr">
        <is>
          <t>Costa de Marfil</t>
        </is>
      </c>
      <c r="C45" s="63" t="inlineStr">
        <is>
          <t>Argelia</t>
        </is>
      </c>
      <c r="D45" s="63" t="inlineStr">
        <is>
          <t>N</t>
        </is>
      </c>
      <c r="E45" s="64" t="n">
        <v>0</v>
      </c>
      <c r="F45" s="64" t="n">
        <v>0</v>
      </c>
      <c r="G45" s="63">
        <f>IF(E45=""," Sin resultado","✓ Ingresado")</f>
        <v/>
      </c>
    </row>
    <row r="46">
      <c r="A46" s="12" t="n">
        <v>43</v>
      </c>
      <c r="B46" s="12" t="inlineStr">
        <is>
          <t>Suiza</t>
        </is>
      </c>
      <c r="C46" s="12" t="inlineStr">
        <is>
          <t>Dinamarca</t>
        </is>
      </c>
      <c r="D46" s="12" t="inlineStr">
        <is>
          <t>O</t>
        </is>
      </c>
      <c r="E46" s="62" t="n">
        <v>0</v>
      </c>
      <c r="F46" s="62" t="n">
        <v>0</v>
      </c>
      <c r="G46" s="12">
        <f>IF(E46=""," Sin resultado","✓ Ingresado")</f>
        <v/>
      </c>
    </row>
    <row r="47">
      <c r="A47" s="63" t="n">
        <v>44</v>
      </c>
      <c r="B47" s="63" t="inlineStr">
        <is>
          <t>Escocia</t>
        </is>
      </c>
      <c r="C47" s="63" t="inlineStr">
        <is>
          <t>Suiza</t>
        </is>
      </c>
      <c r="D47" s="63" t="inlineStr">
        <is>
          <t>O</t>
        </is>
      </c>
      <c r="E47" s="64" t="n">
        <v>0</v>
      </c>
      <c r="F47" s="64" t="n">
        <v>0</v>
      </c>
      <c r="G47" s="63">
        <f>IF(E47=""," Sin resultado","✓ Ingresado")</f>
        <v/>
      </c>
    </row>
    <row r="48">
      <c r="A48" s="12" t="n">
        <v>45</v>
      </c>
      <c r="B48" s="12" t="inlineStr">
        <is>
          <t>Dinamarca</t>
        </is>
      </c>
      <c r="C48" s="12" t="inlineStr">
        <is>
          <t>Escocia</t>
        </is>
      </c>
      <c r="D48" s="12" t="inlineStr">
        <is>
          <t>O</t>
        </is>
      </c>
      <c r="E48" s="62" t="n">
        <v>0</v>
      </c>
      <c r="F48" s="62" t="n">
        <v>0</v>
      </c>
      <c r="G48" s="12">
        <f>IF(E48=""," Sin resultado","✓ Ingresado")</f>
        <v/>
      </c>
    </row>
    <row r="49">
      <c r="A49" s="63" t="n">
        <v>46</v>
      </c>
      <c r="B49" s="63" t="inlineStr">
        <is>
          <t>Venezuela</t>
        </is>
      </c>
      <c r="C49" s="63" t="inlineStr">
        <is>
          <t>Perú</t>
        </is>
      </c>
      <c r="D49" s="63" t="inlineStr">
        <is>
          <t>P</t>
        </is>
      </c>
      <c r="E49" s="64" t="n">
        <v>0</v>
      </c>
      <c r="F49" s="64" t="n">
        <v>0</v>
      </c>
      <c r="G49" s="63">
        <f>IF(E49=""," Sin resultado","✓ Ingresado")</f>
        <v/>
      </c>
    </row>
    <row r="50">
      <c r="A50" s="12" t="n">
        <v>47</v>
      </c>
      <c r="B50" s="12" t="inlineStr">
        <is>
          <t>Bolivia</t>
        </is>
      </c>
      <c r="C50" s="12" t="inlineStr">
        <is>
          <t>Venezuela</t>
        </is>
      </c>
      <c r="D50" s="12" t="inlineStr">
        <is>
          <t>P</t>
        </is>
      </c>
      <c r="E50" s="62" t="n">
        <v>0</v>
      </c>
      <c r="F50" s="62" t="n">
        <v>0</v>
      </c>
      <c r="G50" s="12">
        <f>IF(E50=""," Sin resultado","✓ Ingresado")</f>
        <v/>
      </c>
    </row>
    <row r="51">
      <c r="A51" s="63" t="n">
        <v>48</v>
      </c>
      <c r="B51" s="63" t="inlineStr">
        <is>
          <t>Perú</t>
        </is>
      </c>
      <c r="C51" s="63" t="inlineStr">
        <is>
          <t>Bolivia</t>
        </is>
      </c>
      <c r="D51" s="63" t="inlineStr">
        <is>
          <t>P</t>
        </is>
      </c>
      <c r="E51" s="64" t="n">
        <v>0</v>
      </c>
      <c r="F51" s="64" t="n">
        <v>0</v>
      </c>
      <c r="G51" s="63">
        <f>IF(E51=""," Sin resultado","✓ Ingresado")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1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36" customHeight="1">
      <c r="A1" s="65" t="inlineStr">
        <is>
          <t>PRONÓSTICOS POR PARTICIPANTE — Formato: GolesLocal-GolesVisitante</t>
        </is>
      </c>
    </row>
    <row r="2" ht="20" customHeight="1">
      <c r="A2" s="66" t="inlineStr">
        <is>
          <t>▶ Columnas C en adelante: ingresar pronóstico para cada participante. Ejemplo: 2-1 significa que el local gana 2 a 1.</t>
        </is>
      </c>
    </row>
    <row r="3" ht="26" customHeight="1">
      <c r="A3" s="67" t="inlineStr">
        <is>
          <t>#</t>
        </is>
      </c>
      <c r="B3" s="67" t="inlineStr">
        <is>
          <t>PARTIDO</t>
        </is>
      </c>
      <c r="C3" s="11" t="inlineStr">
        <is>
          <t>Ana García</t>
        </is>
      </c>
      <c r="D3" s="11" t="inlineStr">
        <is>
          <t>Bruno Pérez</t>
        </is>
      </c>
      <c r="E3" s="11" t="inlineStr">
        <is>
          <t>Carla López</t>
        </is>
      </c>
      <c r="F3" s="11" t="inlineStr">
        <is>
          <t>Diego M.</t>
        </is>
      </c>
      <c r="G3" s="11" t="inlineStr">
        <is>
          <t>Elena R.</t>
        </is>
      </c>
      <c r="H3" s="11" t="inlineStr">
        <is>
          <t>Felipe S.</t>
        </is>
      </c>
      <c r="I3" s="11" t="inlineStr">
        <is>
          <t>Gabriela T.</t>
        </is>
      </c>
      <c r="J3" s="11" t="inlineStr">
        <is>
          <t>Hernán V.</t>
        </is>
      </c>
      <c r="K3" s="11" t="inlineStr">
        <is>
          <t>Isabel W.</t>
        </is>
      </c>
      <c r="L3" s="11" t="inlineStr">
        <is>
          <t>Juan X.</t>
        </is>
      </c>
    </row>
    <row r="4">
      <c r="A4" s="12" t="n">
        <v>1</v>
      </c>
      <c r="B4" s="12" t="inlineStr">
        <is>
          <t>Estados Unidos vs Canadá</t>
        </is>
      </c>
      <c r="C4" s="12" t="inlineStr">
        <is>
          <t>1-0</t>
        </is>
      </c>
      <c r="D4" s="12" t="inlineStr">
        <is>
          <t>2-1</t>
        </is>
      </c>
      <c r="E4" s="12" t="inlineStr">
        <is>
          <t>1-1</t>
        </is>
      </c>
      <c r="F4" s="12" t="inlineStr">
        <is>
          <t>2-0</t>
        </is>
      </c>
      <c r="G4" s="12" t="inlineStr">
        <is>
          <t>2-0</t>
        </is>
      </c>
      <c r="H4" s="12" t="inlineStr">
        <is>
          <t>0-0</t>
        </is>
      </c>
      <c r="I4" s="12" t="inlineStr">
        <is>
          <t>1-0</t>
        </is>
      </c>
      <c r="J4" s="12" t="inlineStr">
        <is>
          <t>2-2</t>
        </is>
      </c>
      <c r="K4" s="12" t="inlineStr">
        <is>
          <t>1-0</t>
        </is>
      </c>
      <c r="L4" s="12" t="inlineStr">
        <is>
          <t>3-0</t>
        </is>
      </c>
    </row>
    <row r="5">
      <c r="A5" s="13" t="n">
        <v>2</v>
      </c>
      <c r="B5" s="13" t="inlineStr">
        <is>
          <t>Uruguay vs Estados Unidos</t>
        </is>
      </c>
      <c r="C5" s="13" t="inlineStr">
        <is>
          <t>0-1</t>
        </is>
      </c>
      <c r="D5" s="13" t="inlineStr">
        <is>
          <t>2-1</t>
        </is>
      </c>
      <c r="E5" s="13" t="inlineStr">
        <is>
          <t>2-1</t>
        </is>
      </c>
      <c r="F5" s="13" t="inlineStr">
        <is>
          <t>1-0</t>
        </is>
      </c>
      <c r="G5" s="13" t="inlineStr">
        <is>
          <t>2-0</t>
        </is>
      </c>
      <c r="H5" s="13" t="inlineStr">
        <is>
          <t>2-0</t>
        </is>
      </c>
      <c r="I5" s="13" t="inlineStr">
        <is>
          <t>2-2</t>
        </is>
      </c>
      <c r="J5" s="13" t="inlineStr">
        <is>
          <t>3-0</t>
        </is>
      </c>
      <c r="K5" s="13" t="inlineStr">
        <is>
          <t>2-1</t>
        </is>
      </c>
      <c r="L5" s="13" t="inlineStr">
        <is>
          <t>2-2</t>
        </is>
      </c>
    </row>
    <row r="6">
      <c r="A6" s="12" t="n">
        <v>3</v>
      </c>
      <c r="B6" s="12" t="inlineStr">
        <is>
          <t>Canadá vs Uruguay</t>
        </is>
      </c>
      <c r="C6" s="12" t="inlineStr">
        <is>
          <t>2-0</t>
        </is>
      </c>
      <c r="D6" s="12" t="inlineStr">
        <is>
          <t>2-2</t>
        </is>
      </c>
      <c r="E6" s="12" t="inlineStr">
        <is>
          <t>0-1</t>
        </is>
      </c>
      <c r="F6" s="12" t="inlineStr">
        <is>
          <t>2-0</t>
        </is>
      </c>
      <c r="G6" s="12" t="inlineStr">
        <is>
          <t>1-2</t>
        </is>
      </c>
      <c r="H6" s="12" t="inlineStr">
        <is>
          <t>3-0</t>
        </is>
      </c>
      <c r="I6" s="12" t="inlineStr">
        <is>
          <t>1-1</t>
        </is>
      </c>
      <c r="J6" s="12" t="inlineStr">
        <is>
          <t>2-1</t>
        </is>
      </c>
      <c r="K6" s="12" t="inlineStr">
        <is>
          <t>0-0</t>
        </is>
      </c>
      <c r="L6" s="12" t="inlineStr">
        <is>
          <t>0-1</t>
        </is>
      </c>
    </row>
    <row r="7">
      <c r="A7" s="13" t="n">
        <v>4</v>
      </c>
      <c r="B7" s="13" t="inlineStr">
        <is>
          <t>México vs Ecuador</t>
        </is>
      </c>
      <c r="C7" s="13" t="inlineStr">
        <is>
          <t>3-1</t>
        </is>
      </c>
      <c r="D7" s="13" t="inlineStr">
        <is>
          <t>1-1</t>
        </is>
      </c>
      <c r="E7" s="13" t="inlineStr">
        <is>
          <t>0-0</t>
        </is>
      </c>
      <c r="F7" s="13" t="inlineStr">
        <is>
          <t>2-0</t>
        </is>
      </c>
      <c r="G7" s="13" t="inlineStr">
        <is>
          <t>3-1</t>
        </is>
      </c>
      <c r="H7" s="13" t="inlineStr">
        <is>
          <t>1-0</t>
        </is>
      </c>
      <c r="I7" s="13" t="inlineStr">
        <is>
          <t>1-0</t>
        </is>
      </c>
      <c r="J7" s="13" t="inlineStr">
        <is>
          <t>0-1</t>
        </is>
      </c>
      <c r="K7" s="13" t="inlineStr">
        <is>
          <t>1-0</t>
        </is>
      </c>
      <c r="L7" s="13" t="inlineStr">
        <is>
          <t>3-1</t>
        </is>
      </c>
    </row>
    <row r="8">
      <c r="A8" s="12" t="n">
        <v>5</v>
      </c>
      <c r="B8" s="12" t="inlineStr">
        <is>
          <t>Jamaica vs México</t>
        </is>
      </c>
      <c r="C8" s="12" t="inlineStr">
        <is>
          <t>3-1</t>
        </is>
      </c>
      <c r="D8" s="12" t="inlineStr">
        <is>
          <t>3-0</t>
        </is>
      </c>
      <c r="E8" s="12" t="inlineStr">
        <is>
          <t>1-1</t>
        </is>
      </c>
      <c r="F8" s="12" t="inlineStr">
        <is>
          <t>2-1</t>
        </is>
      </c>
      <c r="G8" s="12" t="inlineStr">
        <is>
          <t>1-2</t>
        </is>
      </c>
      <c r="H8" s="12" t="inlineStr">
        <is>
          <t>2-2</t>
        </is>
      </c>
      <c r="I8" s="12" t="inlineStr">
        <is>
          <t>1-0</t>
        </is>
      </c>
      <c r="J8" s="12" t="inlineStr">
        <is>
          <t>0-1</t>
        </is>
      </c>
      <c r="K8" s="12" t="inlineStr">
        <is>
          <t>1-0</t>
        </is>
      </c>
      <c r="L8" s="12" t="inlineStr">
        <is>
          <t>2-2</t>
        </is>
      </c>
    </row>
    <row r="9">
      <c r="A9" s="13" t="n">
        <v>6</v>
      </c>
      <c r="B9" s="13" t="inlineStr">
        <is>
          <t>Ecuador vs Jamaica</t>
        </is>
      </c>
      <c r="C9" s="13" t="inlineStr">
        <is>
          <t>1-1</t>
        </is>
      </c>
      <c r="D9" s="13" t="inlineStr">
        <is>
          <t>3-0</t>
        </is>
      </c>
      <c r="E9" s="13" t="inlineStr">
        <is>
          <t>3-1</t>
        </is>
      </c>
      <c r="F9" s="13" t="inlineStr">
        <is>
          <t>3-0</t>
        </is>
      </c>
      <c r="G9" s="13" t="inlineStr">
        <is>
          <t>2-0</t>
        </is>
      </c>
      <c r="H9" s="13" t="inlineStr">
        <is>
          <t>1-0</t>
        </is>
      </c>
      <c r="I9" s="13" t="inlineStr">
        <is>
          <t>2-1</t>
        </is>
      </c>
      <c r="J9" s="13" t="inlineStr">
        <is>
          <t>2-0</t>
        </is>
      </c>
      <c r="K9" s="13" t="inlineStr">
        <is>
          <t>1-1</t>
        </is>
      </c>
      <c r="L9" s="13" t="inlineStr">
        <is>
          <t>1-0</t>
        </is>
      </c>
    </row>
    <row r="10">
      <c r="A10" s="12" t="n">
        <v>7</v>
      </c>
      <c r="B10" s="12" t="inlineStr">
        <is>
          <t>Argentina vs Chile</t>
        </is>
      </c>
      <c r="C10" s="12" t="inlineStr">
        <is>
          <t>2-0</t>
        </is>
      </c>
      <c r="D10" s="12" t="inlineStr">
        <is>
          <t>1-0</t>
        </is>
      </c>
      <c r="E10" s="12" t="inlineStr">
        <is>
          <t>0-1</t>
        </is>
      </c>
      <c r="F10" s="12" t="inlineStr">
        <is>
          <t>1-1</t>
        </is>
      </c>
      <c r="G10" s="12" t="inlineStr">
        <is>
          <t>1-2</t>
        </is>
      </c>
      <c r="H10" s="12" t="inlineStr">
        <is>
          <t>3-1</t>
        </is>
      </c>
      <c r="I10" s="12" t="inlineStr">
        <is>
          <t>0-0</t>
        </is>
      </c>
      <c r="J10" s="12" t="inlineStr">
        <is>
          <t>3-1</t>
        </is>
      </c>
      <c r="K10" s="12" t="inlineStr">
        <is>
          <t>3-1</t>
        </is>
      </c>
      <c r="L10" s="12" t="inlineStr">
        <is>
          <t>2-0</t>
        </is>
      </c>
    </row>
    <row r="11">
      <c r="A11" s="13" t="n">
        <v>8</v>
      </c>
      <c r="B11" s="13" t="inlineStr">
        <is>
          <t>Albania vs Argentina</t>
        </is>
      </c>
      <c r="C11" s="13" t="inlineStr">
        <is>
          <t>1-1</t>
        </is>
      </c>
      <c r="D11" s="13" t="inlineStr">
        <is>
          <t>1-0</t>
        </is>
      </c>
      <c r="E11" s="13" t="inlineStr">
        <is>
          <t>3-0</t>
        </is>
      </c>
      <c r="F11" s="13" t="inlineStr">
        <is>
          <t>0-0</t>
        </is>
      </c>
      <c r="G11" s="13" t="inlineStr">
        <is>
          <t>2-2</t>
        </is>
      </c>
      <c r="H11" s="13" t="inlineStr">
        <is>
          <t>2-0</t>
        </is>
      </c>
      <c r="I11" s="13" t="inlineStr">
        <is>
          <t>0-0</t>
        </is>
      </c>
      <c r="J11" s="13" t="inlineStr">
        <is>
          <t>1-2</t>
        </is>
      </c>
      <c r="K11" s="13" t="inlineStr">
        <is>
          <t>0-1</t>
        </is>
      </c>
      <c r="L11" s="13" t="inlineStr">
        <is>
          <t>1-1</t>
        </is>
      </c>
    </row>
    <row r="12">
      <c r="A12" s="12" t="n">
        <v>9</v>
      </c>
      <c r="B12" s="12" t="inlineStr">
        <is>
          <t>Chile vs Albania</t>
        </is>
      </c>
      <c r="C12" s="12" t="inlineStr">
        <is>
          <t>2-2</t>
        </is>
      </c>
      <c r="D12" s="12" t="inlineStr">
        <is>
          <t>2-0</t>
        </is>
      </c>
      <c r="E12" s="12" t="inlineStr">
        <is>
          <t>3-1</t>
        </is>
      </c>
      <c r="F12" s="12" t="inlineStr">
        <is>
          <t>2-1</t>
        </is>
      </c>
      <c r="G12" s="12" t="inlineStr">
        <is>
          <t>2-0</t>
        </is>
      </c>
      <c r="H12" s="12" t="inlineStr">
        <is>
          <t>2-1</t>
        </is>
      </c>
      <c r="I12" s="12" t="inlineStr">
        <is>
          <t>3-1</t>
        </is>
      </c>
      <c r="J12" s="12" t="inlineStr">
        <is>
          <t>0-1</t>
        </is>
      </c>
      <c r="K12" s="12" t="inlineStr">
        <is>
          <t>1-1</t>
        </is>
      </c>
      <c r="L12" s="12" t="inlineStr">
        <is>
          <t>1-0</t>
        </is>
      </c>
    </row>
    <row r="13">
      <c r="A13" s="13" t="n">
        <v>10</v>
      </c>
      <c r="B13" s="13" t="inlineStr">
        <is>
          <t>Brasil vs Colombia</t>
        </is>
      </c>
      <c r="C13" s="13" t="inlineStr">
        <is>
          <t>2-0</t>
        </is>
      </c>
      <c r="D13" s="13" t="inlineStr">
        <is>
          <t>3-0</t>
        </is>
      </c>
      <c r="E13" s="13" t="inlineStr">
        <is>
          <t>3-1</t>
        </is>
      </c>
      <c r="F13" s="13" t="inlineStr">
        <is>
          <t>2-0</t>
        </is>
      </c>
      <c r="G13" s="13" t="inlineStr">
        <is>
          <t>1-2</t>
        </is>
      </c>
      <c r="H13" s="13" t="inlineStr">
        <is>
          <t>0-1</t>
        </is>
      </c>
      <c r="I13" s="13" t="inlineStr">
        <is>
          <t>1-2</t>
        </is>
      </c>
      <c r="J13" s="13" t="inlineStr">
        <is>
          <t>0-0</t>
        </is>
      </c>
      <c r="K13" s="13" t="inlineStr">
        <is>
          <t>1-1</t>
        </is>
      </c>
      <c r="L13" s="13" t="inlineStr">
        <is>
          <t>0-0</t>
        </is>
      </c>
    </row>
    <row r="14">
      <c r="A14" s="12" t="n">
        <v>11</v>
      </c>
      <c r="B14" s="12" t="inlineStr">
        <is>
          <t>Panamá vs Brasil</t>
        </is>
      </c>
      <c r="C14" s="12" t="inlineStr">
        <is>
          <t>2-0</t>
        </is>
      </c>
      <c r="D14" s="12" t="inlineStr">
        <is>
          <t>2-2</t>
        </is>
      </c>
      <c r="E14" s="12" t="inlineStr">
        <is>
          <t>2-2</t>
        </is>
      </c>
      <c r="F14" s="12" t="inlineStr">
        <is>
          <t>1-1</t>
        </is>
      </c>
      <c r="G14" s="12" t="inlineStr">
        <is>
          <t>3-0</t>
        </is>
      </c>
      <c r="H14" s="12" t="inlineStr">
        <is>
          <t>0-1</t>
        </is>
      </c>
      <c r="I14" s="12" t="inlineStr">
        <is>
          <t>3-0</t>
        </is>
      </c>
      <c r="J14" s="12" t="inlineStr">
        <is>
          <t>0-1</t>
        </is>
      </c>
      <c r="K14" s="12" t="inlineStr">
        <is>
          <t>3-1</t>
        </is>
      </c>
      <c r="L14" s="12" t="inlineStr">
        <is>
          <t>2-0</t>
        </is>
      </c>
    </row>
    <row r="15">
      <c r="A15" s="13" t="n">
        <v>12</v>
      </c>
      <c r="B15" s="13" t="inlineStr">
        <is>
          <t>Colombia vs Panamá</t>
        </is>
      </c>
      <c r="C15" s="13" t="inlineStr">
        <is>
          <t>0-0</t>
        </is>
      </c>
      <c r="D15" s="13" t="inlineStr">
        <is>
          <t>2-2</t>
        </is>
      </c>
      <c r="E15" s="13" t="inlineStr">
        <is>
          <t>1-2</t>
        </is>
      </c>
      <c r="F15" s="13" t="inlineStr">
        <is>
          <t>1-0</t>
        </is>
      </c>
      <c r="G15" s="13" t="inlineStr">
        <is>
          <t>2-1</t>
        </is>
      </c>
      <c r="H15" s="13" t="inlineStr">
        <is>
          <t>1-0</t>
        </is>
      </c>
      <c r="I15" s="13" t="inlineStr">
        <is>
          <t>0-0</t>
        </is>
      </c>
      <c r="J15" s="13" t="inlineStr">
        <is>
          <t>0-0</t>
        </is>
      </c>
      <c r="K15" s="13" t="inlineStr">
        <is>
          <t>0-1</t>
        </is>
      </c>
      <c r="L15" s="13" t="inlineStr">
        <is>
          <t>3-0</t>
        </is>
      </c>
    </row>
    <row r="16">
      <c r="A16" s="12" t="n">
        <v>13</v>
      </c>
      <c r="B16" s="12" t="inlineStr">
        <is>
          <t>España vs Marruecos</t>
        </is>
      </c>
      <c r="C16" s="12" t="inlineStr">
        <is>
          <t>1-0</t>
        </is>
      </c>
      <c r="D16" s="12" t="inlineStr">
        <is>
          <t>0-1</t>
        </is>
      </c>
      <c r="E16" s="12" t="inlineStr">
        <is>
          <t>0-1</t>
        </is>
      </c>
      <c r="F16" s="12" t="inlineStr">
        <is>
          <t>3-0</t>
        </is>
      </c>
      <c r="G16" s="12" t="inlineStr">
        <is>
          <t>1-2</t>
        </is>
      </c>
      <c r="H16" s="12" t="inlineStr">
        <is>
          <t>2-2</t>
        </is>
      </c>
      <c r="I16" s="12" t="inlineStr">
        <is>
          <t>1-1</t>
        </is>
      </c>
      <c r="J16" s="12" t="inlineStr">
        <is>
          <t>2-2</t>
        </is>
      </c>
      <c r="K16" s="12" t="inlineStr">
        <is>
          <t>2-1</t>
        </is>
      </c>
      <c r="L16" s="12" t="inlineStr">
        <is>
          <t>1-0</t>
        </is>
      </c>
    </row>
    <row r="17">
      <c r="A17" s="13" t="n">
        <v>14</v>
      </c>
      <c r="B17" s="13" t="inlineStr">
        <is>
          <t>Portugal vs España</t>
        </is>
      </c>
      <c r="C17" s="13" t="inlineStr">
        <is>
          <t>2-2</t>
        </is>
      </c>
      <c r="D17" s="13" t="inlineStr">
        <is>
          <t>1-1</t>
        </is>
      </c>
      <c r="E17" s="13" t="inlineStr">
        <is>
          <t>3-1</t>
        </is>
      </c>
      <c r="F17" s="13" t="inlineStr">
        <is>
          <t>1-0</t>
        </is>
      </c>
      <c r="G17" s="13" t="inlineStr">
        <is>
          <t>1-1</t>
        </is>
      </c>
      <c r="H17" s="13" t="inlineStr">
        <is>
          <t>0-1</t>
        </is>
      </c>
      <c r="I17" s="13" t="inlineStr">
        <is>
          <t>0-0</t>
        </is>
      </c>
      <c r="J17" s="13" t="inlineStr">
        <is>
          <t>1-2</t>
        </is>
      </c>
      <c r="K17" s="13" t="inlineStr">
        <is>
          <t>2-1</t>
        </is>
      </c>
      <c r="L17" s="13" t="inlineStr">
        <is>
          <t>1-1</t>
        </is>
      </c>
    </row>
    <row r="18">
      <c r="A18" s="12" t="n">
        <v>15</v>
      </c>
      <c r="B18" s="12" t="inlineStr">
        <is>
          <t>Marruecos vs Portugal</t>
        </is>
      </c>
      <c r="C18" s="12" t="inlineStr">
        <is>
          <t>2-2</t>
        </is>
      </c>
      <c r="D18" s="12" t="inlineStr">
        <is>
          <t>0-0</t>
        </is>
      </c>
      <c r="E18" s="12" t="inlineStr">
        <is>
          <t>2-2</t>
        </is>
      </c>
      <c r="F18" s="12" t="inlineStr">
        <is>
          <t>1-0</t>
        </is>
      </c>
      <c r="G18" s="12" t="inlineStr">
        <is>
          <t>1-1</t>
        </is>
      </c>
      <c r="H18" s="12" t="inlineStr">
        <is>
          <t>2-2</t>
        </is>
      </c>
      <c r="I18" s="12" t="inlineStr">
        <is>
          <t>3-0</t>
        </is>
      </c>
      <c r="J18" s="12" t="inlineStr">
        <is>
          <t>2-0</t>
        </is>
      </c>
      <c r="K18" s="12" t="inlineStr">
        <is>
          <t>0-0</t>
        </is>
      </c>
      <c r="L18" s="12" t="inlineStr">
        <is>
          <t>3-1</t>
        </is>
      </c>
    </row>
    <row r="19">
      <c r="A19" s="13" t="n">
        <v>16</v>
      </c>
      <c r="B19" s="13" t="inlineStr">
        <is>
          <t>Francia vs Bélgica</t>
        </is>
      </c>
      <c r="C19" s="13" t="inlineStr">
        <is>
          <t>0-0</t>
        </is>
      </c>
      <c r="D19" s="13" t="inlineStr">
        <is>
          <t>2-2</t>
        </is>
      </c>
      <c r="E19" s="13" t="inlineStr">
        <is>
          <t>2-2</t>
        </is>
      </c>
      <c r="F19" s="13" t="inlineStr">
        <is>
          <t>2-1</t>
        </is>
      </c>
      <c r="G19" s="13" t="inlineStr">
        <is>
          <t>3-0</t>
        </is>
      </c>
      <c r="H19" s="13" t="inlineStr">
        <is>
          <t>3-1</t>
        </is>
      </c>
      <c r="I19" s="13" t="inlineStr">
        <is>
          <t>1-2</t>
        </is>
      </c>
      <c r="J19" s="13" t="inlineStr">
        <is>
          <t>2-1</t>
        </is>
      </c>
      <c r="K19" s="13" t="inlineStr">
        <is>
          <t>1-0</t>
        </is>
      </c>
      <c r="L19" s="13" t="inlineStr">
        <is>
          <t>3-1</t>
        </is>
      </c>
    </row>
    <row r="20">
      <c r="A20" s="12" t="n">
        <v>17</v>
      </c>
      <c r="B20" s="12" t="inlineStr">
        <is>
          <t>Italia vs Francia</t>
        </is>
      </c>
      <c r="C20" s="12" t="inlineStr">
        <is>
          <t>1-1</t>
        </is>
      </c>
      <c r="D20" s="12" t="inlineStr">
        <is>
          <t>2-0</t>
        </is>
      </c>
      <c r="E20" s="12" t="inlineStr">
        <is>
          <t>2-1</t>
        </is>
      </c>
      <c r="F20" s="12" t="inlineStr">
        <is>
          <t>2-0</t>
        </is>
      </c>
      <c r="G20" s="12" t="inlineStr">
        <is>
          <t>3-0</t>
        </is>
      </c>
      <c r="H20" s="12" t="inlineStr">
        <is>
          <t>1-0</t>
        </is>
      </c>
      <c r="I20" s="12" t="inlineStr">
        <is>
          <t>1-0</t>
        </is>
      </c>
      <c r="J20" s="12" t="inlineStr">
        <is>
          <t>1-2</t>
        </is>
      </c>
      <c r="K20" s="12" t="inlineStr">
        <is>
          <t>1-0</t>
        </is>
      </c>
      <c r="L20" s="12" t="inlineStr">
        <is>
          <t>2-2</t>
        </is>
      </c>
    </row>
    <row r="21">
      <c r="A21" s="13" t="n">
        <v>18</v>
      </c>
      <c r="B21" s="13" t="inlineStr">
        <is>
          <t>Bélgica vs Italia</t>
        </is>
      </c>
      <c r="C21" s="13" t="inlineStr">
        <is>
          <t>0-0</t>
        </is>
      </c>
      <c r="D21" s="13" t="inlineStr">
        <is>
          <t>0-0</t>
        </is>
      </c>
      <c r="E21" s="13" t="inlineStr">
        <is>
          <t>1-2</t>
        </is>
      </c>
      <c r="F21" s="13" t="inlineStr">
        <is>
          <t>2-2</t>
        </is>
      </c>
      <c r="G21" s="13" t="inlineStr">
        <is>
          <t>0-0</t>
        </is>
      </c>
      <c r="H21" s="13" t="inlineStr">
        <is>
          <t>1-1</t>
        </is>
      </c>
      <c r="I21" s="13" t="inlineStr">
        <is>
          <t>2-2</t>
        </is>
      </c>
      <c r="J21" s="13" t="inlineStr">
        <is>
          <t>3-0</t>
        </is>
      </c>
      <c r="K21" s="13" t="inlineStr">
        <is>
          <t>0-1</t>
        </is>
      </c>
      <c r="L21" s="13" t="inlineStr">
        <is>
          <t>2-0</t>
        </is>
      </c>
    </row>
    <row r="22">
      <c r="A22" s="12" t="n">
        <v>19</v>
      </c>
      <c r="B22" s="12" t="inlineStr">
        <is>
          <t>Alemania vs Países Bajos</t>
        </is>
      </c>
      <c r="C22" s="12" t="inlineStr">
        <is>
          <t>2-2</t>
        </is>
      </c>
      <c r="D22" s="12" t="inlineStr">
        <is>
          <t>2-0</t>
        </is>
      </c>
      <c r="E22" s="12" t="inlineStr">
        <is>
          <t>1-1</t>
        </is>
      </c>
      <c r="F22" s="12" t="inlineStr">
        <is>
          <t>0-1</t>
        </is>
      </c>
      <c r="G22" s="12" t="inlineStr">
        <is>
          <t>3-1</t>
        </is>
      </c>
      <c r="H22" s="12" t="inlineStr">
        <is>
          <t>1-2</t>
        </is>
      </c>
      <c r="I22" s="12" t="inlineStr">
        <is>
          <t>2-2</t>
        </is>
      </c>
      <c r="J22" s="12" t="inlineStr">
        <is>
          <t>1-2</t>
        </is>
      </c>
      <c r="K22" s="12" t="inlineStr">
        <is>
          <t>1-0</t>
        </is>
      </c>
      <c r="L22" s="12" t="inlineStr">
        <is>
          <t>2-0</t>
        </is>
      </c>
    </row>
    <row r="23">
      <c r="A23" s="13" t="n">
        <v>20</v>
      </c>
      <c r="B23" s="13" t="inlineStr">
        <is>
          <t>Hungría vs Alemania</t>
        </is>
      </c>
      <c r="C23" s="13" t="inlineStr">
        <is>
          <t>2-0</t>
        </is>
      </c>
      <c r="D23" s="13" t="inlineStr">
        <is>
          <t>1-0</t>
        </is>
      </c>
      <c r="E23" s="13" t="inlineStr">
        <is>
          <t>3-1</t>
        </is>
      </c>
      <c r="F23" s="13" t="inlineStr">
        <is>
          <t>2-1</t>
        </is>
      </c>
      <c r="G23" s="13" t="inlineStr">
        <is>
          <t>3-0</t>
        </is>
      </c>
      <c r="H23" s="13" t="inlineStr">
        <is>
          <t>2-2</t>
        </is>
      </c>
      <c r="I23" s="13" t="inlineStr">
        <is>
          <t>2-0</t>
        </is>
      </c>
      <c r="J23" s="13" t="inlineStr">
        <is>
          <t>3-0</t>
        </is>
      </c>
      <c r="K23" s="13" t="inlineStr">
        <is>
          <t>2-0</t>
        </is>
      </c>
      <c r="L23" s="13" t="inlineStr">
        <is>
          <t>2-1</t>
        </is>
      </c>
    </row>
    <row r="24">
      <c r="A24" s="12" t="n">
        <v>21</v>
      </c>
      <c r="B24" s="12" t="inlineStr">
        <is>
          <t>Países Bajos vs Hungría</t>
        </is>
      </c>
      <c r="C24" s="12" t="inlineStr">
        <is>
          <t>1-0</t>
        </is>
      </c>
      <c r="D24" s="12" t="inlineStr">
        <is>
          <t>2-1</t>
        </is>
      </c>
      <c r="E24" s="12" t="inlineStr">
        <is>
          <t>2-0</t>
        </is>
      </c>
      <c r="F24" s="12" t="inlineStr">
        <is>
          <t>1-0</t>
        </is>
      </c>
      <c r="G24" s="12" t="inlineStr">
        <is>
          <t>2-1</t>
        </is>
      </c>
      <c r="H24" s="12" t="inlineStr">
        <is>
          <t>3-1</t>
        </is>
      </c>
      <c r="I24" s="12" t="inlineStr">
        <is>
          <t>1-0</t>
        </is>
      </c>
      <c r="J24" s="12" t="inlineStr">
        <is>
          <t>2-2</t>
        </is>
      </c>
      <c r="K24" s="12" t="inlineStr">
        <is>
          <t>2-0</t>
        </is>
      </c>
      <c r="L24" s="12" t="inlineStr">
        <is>
          <t>1-1</t>
        </is>
      </c>
    </row>
    <row r="25">
      <c r="A25" s="13" t="n">
        <v>22</v>
      </c>
      <c r="B25" s="13" t="inlineStr">
        <is>
          <t>Inglaterra vs Eslovaquia</t>
        </is>
      </c>
      <c r="C25" s="13" t="inlineStr">
        <is>
          <t>1-2</t>
        </is>
      </c>
      <c r="D25" s="13" t="inlineStr">
        <is>
          <t>2-0</t>
        </is>
      </c>
      <c r="E25" s="13" t="inlineStr">
        <is>
          <t>2-2</t>
        </is>
      </c>
      <c r="F25" s="13" t="inlineStr">
        <is>
          <t>0-0</t>
        </is>
      </c>
      <c r="G25" s="13" t="inlineStr">
        <is>
          <t>3-0</t>
        </is>
      </c>
      <c r="H25" s="13" t="inlineStr">
        <is>
          <t>3-0</t>
        </is>
      </c>
      <c r="I25" s="13" t="inlineStr">
        <is>
          <t>1-2</t>
        </is>
      </c>
      <c r="J25" s="13" t="inlineStr">
        <is>
          <t>2-0</t>
        </is>
      </c>
      <c r="K25" s="13" t="inlineStr">
        <is>
          <t>1-2</t>
        </is>
      </c>
      <c r="L25" s="13" t="inlineStr">
        <is>
          <t>0-1</t>
        </is>
      </c>
    </row>
    <row r="26">
      <c r="A26" s="12" t="n">
        <v>23</v>
      </c>
      <c r="B26" s="12" t="inlineStr">
        <is>
          <t>Serbia vs Inglaterra</t>
        </is>
      </c>
      <c r="C26" s="12" t="inlineStr">
        <is>
          <t>2-0</t>
        </is>
      </c>
      <c r="D26" s="12" t="inlineStr">
        <is>
          <t>1-0</t>
        </is>
      </c>
      <c r="E26" s="12" t="inlineStr">
        <is>
          <t>1-0</t>
        </is>
      </c>
      <c r="F26" s="12" t="inlineStr">
        <is>
          <t>0-1</t>
        </is>
      </c>
      <c r="G26" s="12" t="inlineStr">
        <is>
          <t>3-1</t>
        </is>
      </c>
      <c r="H26" s="12" t="inlineStr">
        <is>
          <t>0-1</t>
        </is>
      </c>
      <c r="I26" s="12" t="inlineStr">
        <is>
          <t>0-1</t>
        </is>
      </c>
      <c r="J26" s="12" t="inlineStr">
        <is>
          <t>1-2</t>
        </is>
      </c>
      <c r="K26" s="12" t="inlineStr">
        <is>
          <t>2-1</t>
        </is>
      </c>
      <c r="L26" s="12" t="inlineStr">
        <is>
          <t>1-0</t>
        </is>
      </c>
    </row>
    <row r="27">
      <c r="A27" s="13" t="n">
        <v>24</v>
      </c>
      <c r="B27" s="13" t="inlineStr">
        <is>
          <t>Eslovaquia vs Serbia</t>
        </is>
      </c>
      <c r="C27" s="13" t="inlineStr">
        <is>
          <t>2-1</t>
        </is>
      </c>
      <c r="D27" s="13" t="inlineStr">
        <is>
          <t>0-1</t>
        </is>
      </c>
      <c r="E27" s="13" t="inlineStr">
        <is>
          <t>3-1</t>
        </is>
      </c>
      <c r="F27" s="13" t="inlineStr">
        <is>
          <t>1-0</t>
        </is>
      </c>
      <c r="G27" s="13" t="inlineStr">
        <is>
          <t>2-0</t>
        </is>
      </c>
      <c r="H27" s="13" t="inlineStr">
        <is>
          <t>2-0</t>
        </is>
      </c>
      <c r="I27" s="13" t="inlineStr">
        <is>
          <t>2-0</t>
        </is>
      </c>
      <c r="J27" s="13" t="inlineStr">
        <is>
          <t>2-2</t>
        </is>
      </c>
      <c r="K27" s="13" t="inlineStr">
        <is>
          <t>1-2</t>
        </is>
      </c>
      <c r="L27" s="13" t="inlineStr">
        <is>
          <t>0-0</t>
        </is>
      </c>
    </row>
    <row r="28">
      <c r="A28" s="12" t="n">
        <v>25</v>
      </c>
      <c r="B28" s="12" t="inlineStr">
        <is>
          <t>Croacia vs Rep. Checa</t>
        </is>
      </c>
      <c r="C28" s="12" t="inlineStr">
        <is>
          <t>0-1</t>
        </is>
      </c>
      <c r="D28" s="12" t="inlineStr">
        <is>
          <t>0-0</t>
        </is>
      </c>
      <c r="E28" s="12" t="inlineStr">
        <is>
          <t>1-1</t>
        </is>
      </c>
      <c r="F28" s="12" t="inlineStr">
        <is>
          <t>1-2</t>
        </is>
      </c>
      <c r="G28" s="12" t="inlineStr">
        <is>
          <t>2-0</t>
        </is>
      </c>
      <c r="H28" s="12" t="inlineStr">
        <is>
          <t>1-0</t>
        </is>
      </c>
      <c r="I28" s="12" t="inlineStr">
        <is>
          <t>1-2</t>
        </is>
      </c>
      <c r="J28" s="12" t="inlineStr">
        <is>
          <t>2-2</t>
        </is>
      </c>
      <c r="K28" s="12" t="inlineStr">
        <is>
          <t>1-0</t>
        </is>
      </c>
      <c r="L28" s="12" t="inlineStr">
        <is>
          <t>2-1</t>
        </is>
      </c>
    </row>
    <row r="29">
      <c r="A29" s="13" t="n">
        <v>26</v>
      </c>
      <c r="B29" s="13" t="inlineStr">
        <is>
          <t>Turquía vs Croacia</t>
        </is>
      </c>
      <c r="C29" s="13" t="inlineStr">
        <is>
          <t>2-2</t>
        </is>
      </c>
      <c r="D29" s="13" t="inlineStr">
        <is>
          <t>2-1</t>
        </is>
      </c>
      <c r="E29" s="13" t="inlineStr">
        <is>
          <t>1-0</t>
        </is>
      </c>
      <c r="F29" s="13" t="inlineStr">
        <is>
          <t>2-0</t>
        </is>
      </c>
      <c r="G29" s="13" t="inlineStr">
        <is>
          <t>0-0</t>
        </is>
      </c>
      <c r="H29" s="13" t="inlineStr">
        <is>
          <t>0-1</t>
        </is>
      </c>
      <c r="I29" s="13" t="inlineStr">
        <is>
          <t>1-2</t>
        </is>
      </c>
      <c r="J29" s="13" t="inlineStr">
        <is>
          <t>1-2</t>
        </is>
      </c>
      <c r="K29" s="13" t="inlineStr">
        <is>
          <t>2-0</t>
        </is>
      </c>
      <c r="L29" s="13" t="inlineStr">
        <is>
          <t>0-1</t>
        </is>
      </c>
    </row>
    <row r="30">
      <c r="A30" s="12" t="n">
        <v>27</v>
      </c>
      <c r="B30" s="12" t="inlineStr">
        <is>
          <t>Rep. Checa vs Turquía</t>
        </is>
      </c>
      <c r="C30" s="12" t="inlineStr">
        <is>
          <t>2-1</t>
        </is>
      </c>
      <c r="D30" s="12" t="inlineStr">
        <is>
          <t>0-0</t>
        </is>
      </c>
      <c r="E30" s="12" t="inlineStr">
        <is>
          <t>0-1</t>
        </is>
      </c>
      <c r="F30" s="12" t="inlineStr">
        <is>
          <t>2-1</t>
        </is>
      </c>
      <c r="G30" s="12" t="inlineStr">
        <is>
          <t>0-1</t>
        </is>
      </c>
      <c r="H30" s="12" t="inlineStr">
        <is>
          <t>1-1</t>
        </is>
      </c>
      <c r="I30" s="12" t="inlineStr">
        <is>
          <t>1-2</t>
        </is>
      </c>
      <c r="J30" s="12" t="inlineStr">
        <is>
          <t>1-1</t>
        </is>
      </c>
      <c r="K30" s="12" t="inlineStr">
        <is>
          <t>0-1</t>
        </is>
      </c>
      <c r="L30" s="12" t="inlineStr">
        <is>
          <t>2-2</t>
        </is>
      </c>
    </row>
    <row r="31">
      <c r="A31" s="13" t="n">
        <v>28</v>
      </c>
      <c r="B31" s="13" t="inlineStr">
        <is>
          <t>Polonia vs Austria</t>
        </is>
      </c>
      <c r="C31" s="13" t="inlineStr">
        <is>
          <t>1-2</t>
        </is>
      </c>
      <c r="D31" s="13" t="inlineStr">
        <is>
          <t>0-0</t>
        </is>
      </c>
      <c r="E31" s="13" t="inlineStr">
        <is>
          <t>2-0</t>
        </is>
      </c>
      <c r="F31" s="13" t="inlineStr">
        <is>
          <t>1-1</t>
        </is>
      </c>
      <c r="G31" s="13" t="inlineStr">
        <is>
          <t>2-0</t>
        </is>
      </c>
      <c r="H31" s="13" t="inlineStr">
        <is>
          <t>2-1</t>
        </is>
      </c>
      <c r="I31" s="13" t="inlineStr">
        <is>
          <t>3-0</t>
        </is>
      </c>
      <c r="J31" s="13" t="inlineStr">
        <is>
          <t>2-2</t>
        </is>
      </c>
      <c r="K31" s="13" t="inlineStr">
        <is>
          <t>2-1</t>
        </is>
      </c>
      <c r="L31" s="13" t="inlineStr">
        <is>
          <t>3-1</t>
        </is>
      </c>
    </row>
    <row r="32">
      <c r="A32" s="12" t="n">
        <v>29</v>
      </c>
      <c r="B32" s="12" t="inlineStr">
        <is>
          <t>Rumania vs Polonia</t>
        </is>
      </c>
      <c r="C32" s="12" t="inlineStr">
        <is>
          <t>2-1</t>
        </is>
      </c>
      <c r="D32" s="12" t="inlineStr">
        <is>
          <t>2-1</t>
        </is>
      </c>
      <c r="E32" s="12" t="inlineStr">
        <is>
          <t>3-0</t>
        </is>
      </c>
      <c r="F32" s="12" t="inlineStr">
        <is>
          <t>1-2</t>
        </is>
      </c>
      <c r="G32" s="12" t="inlineStr">
        <is>
          <t>2-2</t>
        </is>
      </c>
      <c r="H32" s="12" t="inlineStr">
        <is>
          <t>2-2</t>
        </is>
      </c>
      <c r="I32" s="12" t="inlineStr">
        <is>
          <t>0-0</t>
        </is>
      </c>
      <c r="J32" s="12" t="inlineStr">
        <is>
          <t>2-1</t>
        </is>
      </c>
      <c r="K32" s="12" t="inlineStr">
        <is>
          <t>2-2</t>
        </is>
      </c>
      <c r="L32" s="12" t="inlineStr">
        <is>
          <t>1-0</t>
        </is>
      </c>
    </row>
    <row r="33">
      <c r="A33" s="13" t="n">
        <v>30</v>
      </c>
      <c r="B33" s="13" t="inlineStr">
        <is>
          <t>Austria vs Rumania</t>
        </is>
      </c>
      <c r="C33" s="13" t="inlineStr">
        <is>
          <t>0-0</t>
        </is>
      </c>
      <c r="D33" s="13" t="inlineStr">
        <is>
          <t>1-0</t>
        </is>
      </c>
      <c r="E33" s="13" t="inlineStr">
        <is>
          <t>3-0</t>
        </is>
      </c>
      <c r="F33" s="13" t="inlineStr">
        <is>
          <t>1-0</t>
        </is>
      </c>
      <c r="G33" s="13" t="inlineStr">
        <is>
          <t>2-0</t>
        </is>
      </c>
      <c r="H33" s="13" t="inlineStr">
        <is>
          <t>0-1</t>
        </is>
      </c>
      <c r="I33" s="13" t="inlineStr">
        <is>
          <t>1-0</t>
        </is>
      </c>
      <c r="J33" s="13" t="inlineStr">
        <is>
          <t>3-0</t>
        </is>
      </c>
      <c r="K33" s="13" t="inlineStr">
        <is>
          <t>2-0</t>
        </is>
      </c>
      <c r="L33" s="13" t="inlineStr">
        <is>
          <t>3-0</t>
        </is>
      </c>
    </row>
    <row r="34">
      <c r="A34" s="12" t="n">
        <v>31</v>
      </c>
      <c r="B34" s="12" t="inlineStr">
        <is>
          <t>Japón vs Australia</t>
        </is>
      </c>
      <c r="C34" s="12" t="inlineStr">
        <is>
          <t>3-0</t>
        </is>
      </c>
      <c r="D34" s="12" t="inlineStr">
        <is>
          <t>2-1</t>
        </is>
      </c>
      <c r="E34" s="12" t="inlineStr">
        <is>
          <t>3-0</t>
        </is>
      </c>
      <c r="F34" s="12" t="inlineStr">
        <is>
          <t>1-0</t>
        </is>
      </c>
      <c r="G34" s="12" t="inlineStr">
        <is>
          <t>0-1</t>
        </is>
      </c>
      <c r="H34" s="12" t="inlineStr">
        <is>
          <t>3-0</t>
        </is>
      </c>
      <c r="I34" s="12" t="inlineStr">
        <is>
          <t>3-0</t>
        </is>
      </c>
      <c r="J34" s="12" t="inlineStr">
        <is>
          <t>2-2</t>
        </is>
      </c>
      <c r="K34" s="12" t="inlineStr">
        <is>
          <t>3-1</t>
        </is>
      </c>
      <c r="L34" s="12" t="inlineStr">
        <is>
          <t>1-1</t>
        </is>
      </c>
    </row>
    <row r="35">
      <c r="A35" s="13" t="n">
        <v>32</v>
      </c>
      <c r="B35" s="13" t="inlineStr">
        <is>
          <t>Arabia Saudita vs Japón</t>
        </is>
      </c>
      <c r="C35" s="13" t="inlineStr">
        <is>
          <t>2-0</t>
        </is>
      </c>
      <c r="D35" s="13" t="inlineStr">
        <is>
          <t>3-1</t>
        </is>
      </c>
      <c r="E35" s="13" t="inlineStr">
        <is>
          <t>2-0</t>
        </is>
      </c>
      <c r="F35" s="13" t="inlineStr">
        <is>
          <t>1-1</t>
        </is>
      </c>
      <c r="G35" s="13" t="inlineStr">
        <is>
          <t>0-1</t>
        </is>
      </c>
      <c r="H35" s="13" t="inlineStr">
        <is>
          <t>0-0</t>
        </is>
      </c>
      <c r="I35" s="13" t="inlineStr">
        <is>
          <t>1-1</t>
        </is>
      </c>
      <c r="J35" s="13" t="inlineStr">
        <is>
          <t>1-2</t>
        </is>
      </c>
      <c r="K35" s="13" t="inlineStr">
        <is>
          <t>3-1</t>
        </is>
      </c>
      <c r="L35" s="13" t="inlineStr">
        <is>
          <t>1-0</t>
        </is>
      </c>
    </row>
    <row r="36">
      <c r="A36" s="12" t="n">
        <v>33</v>
      </c>
      <c r="B36" s="12" t="inlineStr">
        <is>
          <t>Australia vs Arabia Saudita</t>
        </is>
      </c>
      <c r="C36" s="12" t="inlineStr">
        <is>
          <t>2-1</t>
        </is>
      </c>
      <c r="D36" s="12" t="inlineStr">
        <is>
          <t>1-2</t>
        </is>
      </c>
      <c r="E36" s="12" t="inlineStr">
        <is>
          <t>3-0</t>
        </is>
      </c>
      <c r="F36" s="12" t="inlineStr">
        <is>
          <t>3-0</t>
        </is>
      </c>
      <c r="G36" s="12" t="inlineStr">
        <is>
          <t>1-0</t>
        </is>
      </c>
      <c r="H36" s="12" t="inlineStr">
        <is>
          <t>1-0</t>
        </is>
      </c>
      <c r="I36" s="12" t="inlineStr">
        <is>
          <t>2-2</t>
        </is>
      </c>
      <c r="J36" s="12" t="inlineStr">
        <is>
          <t>2-0</t>
        </is>
      </c>
      <c r="K36" s="12" t="inlineStr">
        <is>
          <t>2-2</t>
        </is>
      </c>
      <c r="L36" s="12" t="inlineStr">
        <is>
          <t>1-1</t>
        </is>
      </c>
    </row>
    <row r="37">
      <c r="A37" s="13" t="n">
        <v>34</v>
      </c>
      <c r="B37" s="13" t="inlineStr">
        <is>
          <t>Corea del Sur vs Irán</t>
        </is>
      </c>
      <c r="C37" s="13" t="inlineStr">
        <is>
          <t>0-0</t>
        </is>
      </c>
      <c r="D37" s="13" t="inlineStr">
        <is>
          <t>3-1</t>
        </is>
      </c>
      <c r="E37" s="13" t="inlineStr">
        <is>
          <t>1-0</t>
        </is>
      </c>
      <c r="F37" s="13" t="inlineStr">
        <is>
          <t>2-0</t>
        </is>
      </c>
      <c r="G37" s="13" t="inlineStr">
        <is>
          <t>3-1</t>
        </is>
      </c>
      <c r="H37" s="13" t="inlineStr">
        <is>
          <t>1-1</t>
        </is>
      </c>
      <c r="I37" s="13" t="inlineStr">
        <is>
          <t>0-0</t>
        </is>
      </c>
      <c r="J37" s="13" t="inlineStr">
        <is>
          <t>1-2</t>
        </is>
      </c>
      <c r="K37" s="13" t="inlineStr">
        <is>
          <t>2-2</t>
        </is>
      </c>
      <c r="L37" s="13" t="inlineStr">
        <is>
          <t>1-1</t>
        </is>
      </c>
    </row>
    <row r="38">
      <c r="A38" s="12" t="n">
        <v>35</v>
      </c>
      <c r="B38" s="12" t="inlineStr">
        <is>
          <t>Uzbekistán vs Corea del Sur</t>
        </is>
      </c>
      <c r="C38" s="12" t="inlineStr">
        <is>
          <t>3-0</t>
        </is>
      </c>
      <c r="D38" s="12" t="inlineStr">
        <is>
          <t>2-2</t>
        </is>
      </c>
      <c r="E38" s="12" t="inlineStr">
        <is>
          <t>2-1</t>
        </is>
      </c>
      <c r="F38" s="12" t="inlineStr">
        <is>
          <t>2-2</t>
        </is>
      </c>
      <c r="G38" s="12" t="inlineStr">
        <is>
          <t>1-1</t>
        </is>
      </c>
      <c r="H38" s="12" t="inlineStr">
        <is>
          <t>1-0</t>
        </is>
      </c>
      <c r="I38" s="12" t="inlineStr">
        <is>
          <t>0-0</t>
        </is>
      </c>
      <c r="J38" s="12" t="inlineStr">
        <is>
          <t>1-1</t>
        </is>
      </c>
      <c r="K38" s="12" t="inlineStr">
        <is>
          <t>1-0</t>
        </is>
      </c>
      <c r="L38" s="12" t="inlineStr">
        <is>
          <t>1-0</t>
        </is>
      </c>
    </row>
    <row r="39">
      <c r="A39" s="13" t="n">
        <v>36</v>
      </c>
      <c r="B39" s="13" t="inlineStr">
        <is>
          <t>Irán vs Uzbekistán</t>
        </is>
      </c>
      <c r="C39" s="13" t="inlineStr">
        <is>
          <t>2-2</t>
        </is>
      </c>
      <c r="D39" s="13" t="inlineStr">
        <is>
          <t>0-0</t>
        </is>
      </c>
      <c r="E39" s="13" t="inlineStr">
        <is>
          <t>1-1</t>
        </is>
      </c>
      <c r="F39" s="13" t="inlineStr">
        <is>
          <t>1-1</t>
        </is>
      </c>
      <c r="G39" s="13" t="inlineStr">
        <is>
          <t>3-0</t>
        </is>
      </c>
      <c r="H39" s="13" t="inlineStr">
        <is>
          <t>2-0</t>
        </is>
      </c>
      <c r="I39" s="13" t="inlineStr">
        <is>
          <t>3-1</t>
        </is>
      </c>
      <c r="J39" s="13" t="inlineStr">
        <is>
          <t>2-0</t>
        </is>
      </c>
      <c r="K39" s="13" t="inlineStr">
        <is>
          <t>1-1</t>
        </is>
      </c>
      <c r="L39" s="13" t="inlineStr">
        <is>
          <t>2-2</t>
        </is>
      </c>
    </row>
    <row r="40">
      <c r="A40" s="12" t="n">
        <v>37</v>
      </c>
      <c r="B40" s="12" t="inlineStr">
        <is>
          <t>Senegal vs Nigeria</t>
        </is>
      </c>
      <c r="C40" s="12" t="inlineStr">
        <is>
          <t>1-2</t>
        </is>
      </c>
      <c r="D40" s="12" t="inlineStr">
        <is>
          <t>1-1</t>
        </is>
      </c>
      <c r="E40" s="12" t="inlineStr">
        <is>
          <t>2-1</t>
        </is>
      </c>
      <c r="F40" s="12" t="inlineStr">
        <is>
          <t>1-0</t>
        </is>
      </c>
      <c r="G40" s="12" t="inlineStr">
        <is>
          <t>0-1</t>
        </is>
      </c>
      <c r="H40" s="12" t="inlineStr">
        <is>
          <t>1-1</t>
        </is>
      </c>
      <c r="I40" s="12" t="inlineStr">
        <is>
          <t>2-1</t>
        </is>
      </c>
      <c r="J40" s="12" t="inlineStr">
        <is>
          <t>2-1</t>
        </is>
      </c>
      <c r="K40" s="12" t="inlineStr">
        <is>
          <t>3-1</t>
        </is>
      </c>
      <c r="L40" s="12" t="inlineStr">
        <is>
          <t>0-0</t>
        </is>
      </c>
    </row>
    <row r="41">
      <c r="A41" s="13" t="n">
        <v>38</v>
      </c>
      <c r="B41" s="13" t="inlineStr">
        <is>
          <t>Sudáfrica vs Senegal</t>
        </is>
      </c>
      <c r="C41" s="13" t="inlineStr">
        <is>
          <t>1-1</t>
        </is>
      </c>
      <c r="D41" s="13" t="inlineStr">
        <is>
          <t>0-0</t>
        </is>
      </c>
      <c r="E41" s="13" t="inlineStr">
        <is>
          <t>1-2</t>
        </is>
      </c>
      <c r="F41" s="13" t="inlineStr">
        <is>
          <t>2-2</t>
        </is>
      </c>
      <c r="G41" s="13" t="inlineStr">
        <is>
          <t>0-1</t>
        </is>
      </c>
      <c r="H41" s="13" t="inlineStr">
        <is>
          <t>2-2</t>
        </is>
      </c>
      <c r="I41" s="13" t="inlineStr">
        <is>
          <t>2-1</t>
        </is>
      </c>
      <c r="J41" s="13" t="inlineStr">
        <is>
          <t>1-0</t>
        </is>
      </c>
      <c r="K41" s="13" t="inlineStr">
        <is>
          <t>1-0</t>
        </is>
      </c>
      <c r="L41" s="13" t="inlineStr">
        <is>
          <t>0-0</t>
        </is>
      </c>
    </row>
    <row r="42">
      <c r="A42" s="12" t="n">
        <v>39</v>
      </c>
      <c r="B42" s="12" t="inlineStr">
        <is>
          <t>Nigeria vs Sudáfrica</t>
        </is>
      </c>
      <c r="C42" s="12" t="inlineStr">
        <is>
          <t>2-2</t>
        </is>
      </c>
      <c r="D42" s="12" t="inlineStr">
        <is>
          <t>2-1</t>
        </is>
      </c>
      <c r="E42" s="12" t="inlineStr">
        <is>
          <t>3-1</t>
        </is>
      </c>
      <c r="F42" s="12" t="inlineStr">
        <is>
          <t>3-0</t>
        </is>
      </c>
      <c r="G42" s="12" t="inlineStr">
        <is>
          <t>2-2</t>
        </is>
      </c>
      <c r="H42" s="12" t="inlineStr">
        <is>
          <t>0-0</t>
        </is>
      </c>
      <c r="I42" s="12" t="inlineStr">
        <is>
          <t>0-1</t>
        </is>
      </c>
      <c r="J42" s="12" t="inlineStr">
        <is>
          <t>0-0</t>
        </is>
      </c>
      <c r="K42" s="12" t="inlineStr">
        <is>
          <t>2-1</t>
        </is>
      </c>
      <c r="L42" s="12" t="inlineStr">
        <is>
          <t>1-1</t>
        </is>
      </c>
    </row>
    <row r="43">
      <c r="A43" s="13" t="n">
        <v>40</v>
      </c>
      <c r="B43" s="13" t="inlineStr">
        <is>
          <t>Egipto vs Costa de Marfil</t>
        </is>
      </c>
      <c r="C43" s="13" t="inlineStr">
        <is>
          <t>3-1</t>
        </is>
      </c>
      <c r="D43" s="13" t="inlineStr">
        <is>
          <t>2-1</t>
        </is>
      </c>
      <c r="E43" s="13" t="inlineStr">
        <is>
          <t>3-1</t>
        </is>
      </c>
      <c r="F43" s="13" t="inlineStr">
        <is>
          <t>2-0</t>
        </is>
      </c>
      <c r="G43" s="13" t="inlineStr">
        <is>
          <t>2-0</t>
        </is>
      </c>
      <c r="H43" s="13" t="inlineStr">
        <is>
          <t>1-0</t>
        </is>
      </c>
      <c r="I43" s="13" t="inlineStr">
        <is>
          <t>3-1</t>
        </is>
      </c>
      <c r="J43" s="13" t="inlineStr">
        <is>
          <t>2-2</t>
        </is>
      </c>
      <c r="K43" s="13" t="inlineStr">
        <is>
          <t>0-1</t>
        </is>
      </c>
      <c r="L43" s="13" t="inlineStr">
        <is>
          <t>3-0</t>
        </is>
      </c>
    </row>
    <row r="44">
      <c r="A44" s="12" t="n">
        <v>41</v>
      </c>
      <c r="B44" s="12" t="inlineStr">
        <is>
          <t>Argelia vs Egipto</t>
        </is>
      </c>
      <c r="C44" s="12" t="inlineStr">
        <is>
          <t>0-0</t>
        </is>
      </c>
      <c r="D44" s="12" t="inlineStr">
        <is>
          <t>2-0</t>
        </is>
      </c>
      <c r="E44" s="12" t="inlineStr">
        <is>
          <t>0-0</t>
        </is>
      </c>
      <c r="F44" s="12" t="inlineStr">
        <is>
          <t>0-0</t>
        </is>
      </c>
      <c r="G44" s="12" t="inlineStr">
        <is>
          <t>0-1</t>
        </is>
      </c>
      <c r="H44" s="12" t="inlineStr">
        <is>
          <t>2-1</t>
        </is>
      </c>
      <c r="I44" s="12" t="inlineStr">
        <is>
          <t>0-0</t>
        </is>
      </c>
      <c r="J44" s="12" t="inlineStr">
        <is>
          <t>3-1</t>
        </is>
      </c>
      <c r="K44" s="12" t="inlineStr">
        <is>
          <t>0-1</t>
        </is>
      </c>
      <c r="L44" s="12" t="inlineStr">
        <is>
          <t>2-0</t>
        </is>
      </c>
    </row>
    <row r="45">
      <c r="A45" s="13" t="n">
        <v>42</v>
      </c>
      <c r="B45" s="13" t="inlineStr">
        <is>
          <t>Costa de Marfil vs Argelia</t>
        </is>
      </c>
      <c r="C45" s="13" t="inlineStr">
        <is>
          <t>1-1</t>
        </is>
      </c>
      <c r="D45" s="13" t="inlineStr">
        <is>
          <t>0-0</t>
        </is>
      </c>
      <c r="E45" s="13" t="inlineStr">
        <is>
          <t>1-0</t>
        </is>
      </c>
      <c r="F45" s="13" t="inlineStr">
        <is>
          <t>0-1</t>
        </is>
      </c>
      <c r="G45" s="13" t="inlineStr">
        <is>
          <t>2-1</t>
        </is>
      </c>
      <c r="H45" s="13" t="inlineStr">
        <is>
          <t>1-2</t>
        </is>
      </c>
      <c r="I45" s="13" t="inlineStr">
        <is>
          <t>2-0</t>
        </is>
      </c>
      <c r="J45" s="13" t="inlineStr">
        <is>
          <t>2-0</t>
        </is>
      </c>
      <c r="K45" s="13" t="inlineStr">
        <is>
          <t>1-2</t>
        </is>
      </c>
      <c r="L45" s="13" t="inlineStr">
        <is>
          <t>3-1</t>
        </is>
      </c>
    </row>
    <row r="46">
      <c r="A46" s="12" t="n">
        <v>43</v>
      </c>
      <c r="B46" s="12" t="inlineStr">
        <is>
          <t>Suiza vs Dinamarca</t>
        </is>
      </c>
      <c r="C46" s="12" t="inlineStr">
        <is>
          <t>1-1</t>
        </is>
      </c>
      <c r="D46" s="12" t="inlineStr">
        <is>
          <t>2-0</t>
        </is>
      </c>
      <c r="E46" s="12" t="inlineStr">
        <is>
          <t>2-0</t>
        </is>
      </c>
      <c r="F46" s="12" t="inlineStr">
        <is>
          <t>2-1</t>
        </is>
      </c>
      <c r="G46" s="12" t="inlineStr">
        <is>
          <t>2-0</t>
        </is>
      </c>
      <c r="H46" s="12" t="inlineStr">
        <is>
          <t>0-1</t>
        </is>
      </c>
      <c r="I46" s="12" t="inlineStr">
        <is>
          <t>3-1</t>
        </is>
      </c>
      <c r="J46" s="12" t="inlineStr">
        <is>
          <t>1-1</t>
        </is>
      </c>
      <c r="K46" s="12" t="inlineStr">
        <is>
          <t>1-0</t>
        </is>
      </c>
      <c r="L46" s="12" t="inlineStr">
        <is>
          <t>1-1</t>
        </is>
      </c>
    </row>
    <row r="47">
      <c r="A47" s="13" t="n">
        <v>44</v>
      </c>
      <c r="B47" s="13" t="inlineStr">
        <is>
          <t>Escocia vs Suiza</t>
        </is>
      </c>
      <c r="C47" s="13" t="inlineStr">
        <is>
          <t>3-1</t>
        </is>
      </c>
      <c r="D47" s="13" t="inlineStr">
        <is>
          <t>2-2</t>
        </is>
      </c>
      <c r="E47" s="13" t="inlineStr">
        <is>
          <t>0-1</t>
        </is>
      </c>
      <c r="F47" s="13" t="inlineStr">
        <is>
          <t>2-2</t>
        </is>
      </c>
      <c r="G47" s="13" t="inlineStr">
        <is>
          <t>3-1</t>
        </is>
      </c>
      <c r="H47" s="13" t="inlineStr">
        <is>
          <t>2-1</t>
        </is>
      </c>
      <c r="I47" s="13" t="inlineStr">
        <is>
          <t>1-0</t>
        </is>
      </c>
      <c r="J47" s="13" t="inlineStr">
        <is>
          <t>1-1</t>
        </is>
      </c>
      <c r="K47" s="13" t="inlineStr">
        <is>
          <t>0-0</t>
        </is>
      </c>
      <c r="L47" s="13" t="inlineStr">
        <is>
          <t>3-0</t>
        </is>
      </c>
    </row>
    <row r="48">
      <c r="A48" s="12" t="n">
        <v>45</v>
      </c>
      <c r="B48" s="12" t="inlineStr">
        <is>
          <t>Dinamarca vs Escocia</t>
        </is>
      </c>
      <c r="C48" s="12" t="inlineStr">
        <is>
          <t>1-1</t>
        </is>
      </c>
      <c r="D48" s="12" t="inlineStr">
        <is>
          <t>2-1</t>
        </is>
      </c>
      <c r="E48" s="12" t="inlineStr">
        <is>
          <t>1-0</t>
        </is>
      </c>
      <c r="F48" s="12" t="inlineStr">
        <is>
          <t>3-0</t>
        </is>
      </c>
      <c r="G48" s="12" t="inlineStr">
        <is>
          <t>0-1</t>
        </is>
      </c>
      <c r="H48" s="12" t="inlineStr">
        <is>
          <t>3-1</t>
        </is>
      </c>
      <c r="I48" s="12" t="inlineStr">
        <is>
          <t>3-1</t>
        </is>
      </c>
      <c r="J48" s="12" t="inlineStr">
        <is>
          <t>0-1</t>
        </is>
      </c>
      <c r="K48" s="12" t="inlineStr">
        <is>
          <t>3-0</t>
        </is>
      </c>
      <c r="L48" s="12" t="inlineStr">
        <is>
          <t>2-2</t>
        </is>
      </c>
    </row>
    <row r="49">
      <c r="A49" s="13" t="n">
        <v>46</v>
      </c>
      <c r="B49" s="13" t="inlineStr">
        <is>
          <t>Venezuela vs Perú</t>
        </is>
      </c>
      <c r="C49" s="13" t="inlineStr">
        <is>
          <t>1-0</t>
        </is>
      </c>
      <c r="D49" s="13" t="inlineStr">
        <is>
          <t>0-1</t>
        </is>
      </c>
      <c r="E49" s="13" t="inlineStr">
        <is>
          <t>3-0</t>
        </is>
      </c>
      <c r="F49" s="13" t="inlineStr">
        <is>
          <t>2-0</t>
        </is>
      </c>
      <c r="G49" s="13" t="inlineStr">
        <is>
          <t>1-1</t>
        </is>
      </c>
      <c r="H49" s="13" t="inlineStr">
        <is>
          <t>2-1</t>
        </is>
      </c>
      <c r="I49" s="13" t="inlineStr">
        <is>
          <t>0-1</t>
        </is>
      </c>
      <c r="J49" s="13" t="inlineStr">
        <is>
          <t>2-1</t>
        </is>
      </c>
      <c r="K49" s="13" t="inlineStr">
        <is>
          <t>2-2</t>
        </is>
      </c>
      <c r="L49" s="13" t="inlineStr">
        <is>
          <t>2-2</t>
        </is>
      </c>
    </row>
    <row r="50">
      <c r="A50" s="12" t="n">
        <v>47</v>
      </c>
      <c r="B50" s="12" t="inlineStr">
        <is>
          <t>Bolivia vs Venezuela</t>
        </is>
      </c>
      <c r="C50" s="12" t="inlineStr">
        <is>
          <t>2-0</t>
        </is>
      </c>
      <c r="D50" s="12" t="inlineStr">
        <is>
          <t>3-1</t>
        </is>
      </c>
      <c r="E50" s="12" t="inlineStr">
        <is>
          <t>0-1</t>
        </is>
      </c>
      <c r="F50" s="12" t="inlineStr">
        <is>
          <t>1-0</t>
        </is>
      </c>
      <c r="G50" s="12" t="inlineStr">
        <is>
          <t>3-1</t>
        </is>
      </c>
      <c r="H50" s="12" t="inlineStr">
        <is>
          <t>3-0</t>
        </is>
      </c>
      <c r="I50" s="12" t="inlineStr">
        <is>
          <t>3-1</t>
        </is>
      </c>
      <c r="J50" s="12" t="inlineStr">
        <is>
          <t>1-0</t>
        </is>
      </c>
      <c r="K50" s="12" t="inlineStr">
        <is>
          <t>1-1</t>
        </is>
      </c>
      <c r="L50" s="12" t="inlineStr">
        <is>
          <t>2-2</t>
        </is>
      </c>
    </row>
    <row r="51">
      <c r="A51" s="13" t="n">
        <v>48</v>
      </c>
      <c r="B51" s="13" t="inlineStr">
        <is>
          <t>Perú vs Bolivia</t>
        </is>
      </c>
      <c r="C51" s="13" t="inlineStr">
        <is>
          <t>1-1</t>
        </is>
      </c>
      <c r="D51" s="13" t="inlineStr">
        <is>
          <t>0-1</t>
        </is>
      </c>
      <c r="E51" s="13" t="inlineStr">
        <is>
          <t>3-1</t>
        </is>
      </c>
      <c r="F51" s="13" t="inlineStr">
        <is>
          <t>0-1</t>
        </is>
      </c>
      <c r="G51" s="13" t="inlineStr">
        <is>
          <t>1-1</t>
        </is>
      </c>
      <c r="H51" s="13" t="inlineStr">
        <is>
          <t>2-2</t>
        </is>
      </c>
      <c r="I51" s="13" t="inlineStr">
        <is>
          <t>0-0</t>
        </is>
      </c>
      <c r="J51" s="13" t="inlineStr">
        <is>
          <t>2-0</t>
        </is>
      </c>
      <c r="K51" s="13" t="inlineStr">
        <is>
          <t>0-1</t>
        </is>
      </c>
      <c r="L51" s="13" t="inlineStr">
        <is>
          <t>0-1</t>
        </is>
      </c>
    </row>
  </sheetData>
  <mergeCells count="2">
    <mergeCell ref="A2:M2"/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0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36" customHeight="1">
      <c r="A1" s="68" t="inlineStr">
        <is>
          <t>PUNTAJES CALCULADOS AUTOMÁTICAMENTE</t>
        </is>
      </c>
    </row>
    <row r="2" ht="26" customHeight="1">
      <c r="A2" s="69" t="inlineStr">
        <is>
          <t>#</t>
        </is>
      </c>
      <c r="B2" s="69" t="inlineStr">
        <is>
          <t>PARTIDO</t>
        </is>
      </c>
      <c r="C2" s="69" t="inlineStr">
        <is>
          <t>Ana García</t>
        </is>
      </c>
      <c r="D2" s="69" t="inlineStr">
        <is>
          <t>Bruno Pérez</t>
        </is>
      </c>
      <c r="E2" s="69" t="inlineStr">
        <is>
          <t>Carla López</t>
        </is>
      </c>
      <c r="F2" s="69" t="inlineStr">
        <is>
          <t>Diego M.</t>
        </is>
      </c>
      <c r="G2" s="69" t="inlineStr">
        <is>
          <t>Elena R.</t>
        </is>
      </c>
      <c r="H2" s="69" t="inlineStr">
        <is>
          <t>Felipe S.</t>
        </is>
      </c>
      <c r="I2" s="69" t="inlineStr">
        <is>
          <t>Gabriela T.</t>
        </is>
      </c>
      <c r="J2" s="69" t="inlineStr">
        <is>
          <t>Hernán V.</t>
        </is>
      </c>
      <c r="K2" s="69" t="inlineStr">
        <is>
          <t>Isabel W.</t>
        </is>
      </c>
      <c r="L2" s="69" t="inlineStr">
        <is>
          <t>Juan X.</t>
        </is>
      </c>
    </row>
    <row r="3">
      <c r="A3" s="12" t="n">
        <v>1</v>
      </c>
      <c r="B3" s="12" t="inlineStr">
        <is>
          <t>Estados Unidos vs Canadá</t>
        </is>
      </c>
      <c r="C3" s="12">
        <f>IF(OR(RESULTADOS!E4="",RESULTADOS!E4=0,RESULTADOS!F4=""),"—",IF(AND(VALUE(LEFT(PRONÓSTICOS!C4,FIND("-",PRONÓSTICOS!C4)-1))=RESULTADOS!E4,VALUE(MID(PRONÓSTICOS!C4,FIND("-",PRONÓSTICOS!C4)+1,10))=RESULTADOS!F4),3,IF(AND(VALUE(LEFT(PRONÓSTICOS!C4,FIND("-",PRONÓSTICOS!C4)-1))-VALUE(MID(PRONÓSTICOS!C4,FIND("-",PRONÓSTICOS!C4)+1,10))=RESULTADOS!E4-RESULTADOS!F4,VALUE(LEFT(PRONÓSTICOS!C4,FIND("-",PRONÓSTICOS!C4)-1))&lt;&gt;RESULTADOS!E4),2,IF(SIGN(VALUE(LEFT(PRONÓSTICOS!C4,FIND("-",PRONÓSTICOS!C4)-1))-VALUE(MID(PRONÓSTICOS!C4,FIND("-",PRONÓSTICOS!C4)+1,10)))=SIGN(RESULTADOS!E4-RESULTADOS!F4),1,0))))</f>
        <v/>
      </c>
      <c r="D3" s="12">
        <f>IF(OR(RESULTADOS!E4="",RESULTADOS!E4=0,RESULTADOS!F4=""),"—",IF(AND(VALUE(LEFT(PRONÓSTICOS!D4,FIND("-",PRONÓSTICOS!D4)-1))=RESULTADOS!E4,VALUE(MID(PRONÓSTICOS!D4,FIND("-",PRONÓSTICOS!D4)+1,10))=RESULTADOS!F4),3,IF(AND(VALUE(LEFT(PRONÓSTICOS!D4,FIND("-",PRONÓSTICOS!D4)-1))-VALUE(MID(PRONÓSTICOS!D4,FIND("-",PRONÓSTICOS!D4)+1,10))=RESULTADOS!E4-RESULTADOS!F4,VALUE(LEFT(PRONÓSTICOS!D4,FIND("-",PRONÓSTICOS!D4)-1))&lt;&gt;RESULTADOS!E4),2,IF(SIGN(VALUE(LEFT(PRONÓSTICOS!D4,FIND("-",PRONÓSTICOS!D4)-1))-VALUE(MID(PRONÓSTICOS!D4,FIND("-",PRONÓSTICOS!D4)+1,10)))=SIGN(RESULTADOS!E4-RESULTADOS!F4),1,0))))</f>
        <v/>
      </c>
      <c r="E3" s="12">
        <f>IF(OR(RESULTADOS!E4="",RESULTADOS!E4=0,RESULTADOS!F4=""),"—",IF(AND(VALUE(LEFT(PRONÓSTICOS!E4,FIND("-",PRONÓSTICOS!E4)-1))=RESULTADOS!E4,VALUE(MID(PRONÓSTICOS!E4,FIND("-",PRONÓSTICOS!E4)+1,10))=RESULTADOS!F4),3,IF(AND(VALUE(LEFT(PRONÓSTICOS!E4,FIND("-",PRONÓSTICOS!E4)-1))-VALUE(MID(PRONÓSTICOS!E4,FIND("-",PRONÓSTICOS!E4)+1,10))=RESULTADOS!E4-RESULTADOS!F4,VALUE(LEFT(PRONÓSTICOS!E4,FIND("-",PRONÓSTICOS!E4)-1))&lt;&gt;RESULTADOS!E4),2,IF(SIGN(VALUE(LEFT(PRONÓSTICOS!E4,FIND("-",PRONÓSTICOS!E4)-1))-VALUE(MID(PRONÓSTICOS!E4,FIND("-",PRONÓSTICOS!E4)+1,10)))=SIGN(RESULTADOS!E4-RESULTADOS!F4),1,0))))</f>
        <v/>
      </c>
      <c r="F3" s="12">
        <f>IF(OR(RESULTADOS!E4="",RESULTADOS!E4=0,RESULTADOS!F4=""),"—",IF(AND(VALUE(LEFT(PRONÓSTICOS!F4,FIND("-",PRONÓSTICOS!F4)-1))=RESULTADOS!E4,VALUE(MID(PRONÓSTICOS!F4,FIND("-",PRONÓSTICOS!F4)+1,10))=RESULTADOS!F4),3,IF(AND(VALUE(LEFT(PRONÓSTICOS!F4,FIND("-",PRONÓSTICOS!F4)-1))-VALUE(MID(PRONÓSTICOS!F4,FIND("-",PRONÓSTICOS!F4)+1,10))=RESULTADOS!E4-RESULTADOS!F4,VALUE(LEFT(PRONÓSTICOS!F4,FIND("-",PRONÓSTICOS!F4)-1))&lt;&gt;RESULTADOS!E4),2,IF(SIGN(VALUE(LEFT(PRONÓSTICOS!F4,FIND("-",PRONÓSTICOS!F4)-1))-VALUE(MID(PRONÓSTICOS!F4,FIND("-",PRONÓSTICOS!F4)+1,10)))=SIGN(RESULTADOS!E4-RESULTADOS!F4),1,0))))</f>
        <v/>
      </c>
      <c r="G3" s="12">
        <f>IF(OR(RESULTADOS!E4="",RESULTADOS!E4=0,RESULTADOS!F4=""),"—",IF(AND(VALUE(LEFT(PRONÓSTICOS!G4,FIND("-",PRONÓSTICOS!G4)-1))=RESULTADOS!E4,VALUE(MID(PRONÓSTICOS!G4,FIND("-",PRONÓSTICOS!G4)+1,10))=RESULTADOS!F4),3,IF(AND(VALUE(LEFT(PRONÓSTICOS!G4,FIND("-",PRONÓSTICOS!G4)-1))-VALUE(MID(PRONÓSTICOS!G4,FIND("-",PRONÓSTICOS!G4)+1,10))=RESULTADOS!E4-RESULTADOS!F4,VALUE(LEFT(PRONÓSTICOS!G4,FIND("-",PRONÓSTICOS!G4)-1))&lt;&gt;RESULTADOS!E4),2,IF(SIGN(VALUE(LEFT(PRONÓSTICOS!G4,FIND("-",PRONÓSTICOS!G4)-1))-VALUE(MID(PRONÓSTICOS!G4,FIND("-",PRONÓSTICOS!G4)+1,10)))=SIGN(RESULTADOS!E4-RESULTADOS!F4),1,0))))</f>
        <v/>
      </c>
      <c r="H3" s="12">
        <f>IF(OR(RESULTADOS!E4="",RESULTADOS!E4=0,RESULTADOS!F4=""),"—",IF(AND(VALUE(LEFT(PRONÓSTICOS!H4,FIND("-",PRONÓSTICOS!H4)-1))=RESULTADOS!E4,VALUE(MID(PRONÓSTICOS!H4,FIND("-",PRONÓSTICOS!H4)+1,10))=RESULTADOS!F4),3,IF(AND(VALUE(LEFT(PRONÓSTICOS!H4,FIND("-",PRONÓSTICOS!H4)-1))-VALUE(MID(PRONÓSTICOS!H4,FIND("-",PRONÓSTICOS!H4)+1,10))=RESULTADOS!E4-RESULTADOS!F4,VALUE(LEFT(PRONÓSTICOS!H4,FIND("-",PRONÓSTICOS!H4)-1))&lt;&gt;RESULTADOS!E4),2,IF(SIGN(VALUE(LEFT(PRONÓSTICOS!H4,FIND("-",PRONÓSTICOS!H4)-1))-VALUE(MID(PRONÓSTICOS!H4,FIND("-",PRONÓSTICOS!H4)+1,10)))=SIGN(RESULTADOS!E4-RESULTADOS!F4),1,0))))</f>
        <v/>
      </c>
      <c r="I3" s="12">
        <f>IF(OR(RESULTADOS!E4="",RESULTADOS!E4=0,RESULTADOS!F4=""),"—",IF(AND(VALUE(LEFT(PRONÓSTICOS!I4,FIND("-",PRONÓSTICOS!I4)-1))=RESULTADOS!E4,VALUE(MID(PRONÓSTICOS!I4,FIND("-",PRONÓSTICOS!I4)+1,10))=RESULTADOS!F4),3,IF(AND(VALUE(LEFT(PRONÓSTICOS!I4,FIND("-",PRONÓSTICOS!I4)-1))-VALUE(MID(PRONÓSTICOS!I4,FIND("-",PRONÓSTICOS!I4)+1,10))=RESULTADOS!E4-RESULTADOS!F4,VALUE(LEFT(PRONÓSTICOS!I4,FIND("-",PRONÓSTICOS!I4)-1))&lt;&gt;RESULTADOS!E4),2,IF(SIGN(VALUE(LEFT(PRONÓSTICOS!I4,FIND("-",PRONÓSTICOS!I4)-1))-VALUE(MID(PRONÓSTICOS!I4,FIND("-",PRONÓSTICOS!I4)+1,10)))=SIGN(RESULTADOS!E4-RESULTADOS!F4),1,0))))</f>
        <v/>
      </c>
      <c r="J3" s="12">
        <f>IF(OR(RESULTADOS!E4="",RESULTADOS!E4=0,RESULTADOS!F4=""),"—",IF(AND(VALUE(LEFT(PRONÓSTICOS!J4,FIND("-",PRONÓSTICOS!J4)-1))=RESULTADOS!E4,VALUE(MID(PRONÓSTICOS!J4,FIND("-",PRONÓSTICOS!J4)+1,10))=RESULTADOS!F4),3,IF(AND(VALUE(LEFT(PRONÓSTICOS!J4,FIND("-",PRONÓSTICOS!J4)-1))-VALUE(MID(PRONÓSTICOS!J4,FIND("-",PRONÓSTICOS!J4)+1,10))=RESULTADOS!E4-RESULTADOS!F4,VALUE(LEFT(PRONÓSTICOS!J4,FIND("-",PRONÓSTICOS!J4)-1))&lt;&gt;RESULTADOS!E4),2,IF(SIGN(VALUE(LEFT(PRONÓSTICOS!J4,FIND("-",PRONÓSTICOS!J4)-1))-VALUE(MID(PRONÓSTICOS!J4,FIND("-",PRONÓSTICOS!J4)+1,10)))=SIGN(RESULTADOS!E4-RESULTADOS!F4),1,0))))</f>
        <v/>
      </c>
      <c r="K3" s="12">
        <f>IF(OR(RESULTADOS!E4="",RESULTADOS!E4=0,RESULTADOS!F4=""),"—",IF(AND(VALUE(LEFT(PRONÓSTICOS!K4,FIND("-",PRONÓSTICOS!K4)-1))=RESULTADOS!E4,VALUE(MID(PRONÓSTICOS!K4,FIND("-",PRONÓSTICOS!K4)+1,10))=RESULTADOS!F4),3,IF(AND(VALUE(LEFT(PRONÓSTICOS!K4,FIND("-",PRONÓSTICOS!K4)-1))-VALUE(MID(PRONÓSTICOS!K4,FIND("-",PRONÓSTICOS!K4)+1,10))=RESULTADOS!E4-RESULTADOS!F4,VALUE(LEFT(PRONÓSTICOS!K4,FIND("-",PRONÓSTICOS!K4)-1))&lt;&gt;RESULTADOS!E4),2,IF(SIGN(VALUE(LEFT(PRONÓSTICOS!K4,FIND("-",PRONÓSTICOS!K4)-1))-VALUE(MID(PRONÓSTICOS!K4,FIND("-",PRONÓSTICOS!K4)+1,10)))=SIGN(RESULTADOS!E4-RESULTADOS!F4),1,0))))</f>
        <v/>
      </c>
      <c r="L3" s="12">
        <f>IF(OR(RESULTADOS!E4="",RESULTADOS!E4=0,RESULTADOS!F4=""),"—",IF(AND(VALUE(LEFT(PRONÓSTICOS!L4,FIND("-",PRONÓSTICOS!L4)-1))=RESULTADOS!E4,VALUE(MID(PRONÓSTICOS!L4,FIND("-",PRONÓSTICOS!L4)+1,10))=RESULTADOS!F4),3,IF(AND(VALUE(LEFT(PRONÓSTICOS!L4,FIND("-",PRONÓSTICOS!L4)-1))-VALUE(MID(PRONÓSTICOS!L4,FIND("-",PRONÓSTICOS!L4)+1,10))=RESULTADOS!E4-RESULTADOS!F4,VALUE(LEFT(PRONÓSTICOS!L4,FIND("-",PRONÓSTICOS!L4)-1))&lt;&gt;RESULTADOS!E4),2,IF(SIGN(VALUE(LEFT(PRONÓSTICOS!L4,FIND("-",PRONÓSTICOS!L4)-1))-VALUE(MID(PRONÓSTICOS!L4,FIND("-",PRONÓSTICOS!L4)+1,10)))=SIGN(RESULTADOS!E4-RESULTADOS!F4),1,0))))</f>
        <v/>
      </c>
    </row>
    <row r="4">
      <c r="A4" s="70" t="n">
        <v>2</v>
      </c>
      <c r="B4" s="70" t="inlineStr">
        <is>
          <t>Uruguay vs Estados Unidos</t>
        </is>
      </c>
      <c r="C4" s="70">
        <f>IF(OR(RESULTADOS!E5="",RESULTADOS!E5=0,RESULTADOS!F5=""),"—",IF(AND(VALUE(LEFT(PRONÓSTICOS!C5,FIND("-",PRONÓSTICOS!C5)-1))=RESULTADOS!E5,VALUE(MID(PRONÓSTICOS!C5,FIND("-",PRONÓSTICOS!C5)+1,10))=RESULTADOS!F5),3,IF(AND(VALUE(LEFT(PRONÓSTICOS!C5,FIND("-",PRONÓSTICOS!C5)-1))-VALUE(MID(PRONÓSTICOS!C5,FIND("-",PRONÓSTICOS!C5)+1,10))=RESULTADOS!E5-RESULTADOS!F5,VALUE(LEFT(PRONÓSTICOS!C5,FIND("-",PRONÓSTICOS!C5)-1))&lt;&gt;RESULTADOS!E5),2,IF(SIGN(VALUE(LEFT(PRONÓSTICOS!C5,FIND("-",PRONÓSTICOS!C5)-1))-VALUE(MID(PRONÓSTICOS!C5,FIND("-",PRONÓSTICOS!C5)+1,10)))=SIGN(RESULTADOS!E5-RESULTADOS!F5),1,0))))</f>
        <v/>
      </c>
      <c r="D4" s="70">
        <f>IF(OR(RESULTADOS!E5="",RESULTADOS!E5=0,RESULTADOS!F5=""),"—",IF(AND(VALUE(LEFT(PRONÓSTICOS!D5,FIND("-",PRONÓSTICOS!D5)-1))=RESULTADOS!E5,VALUE(MID(PRONÓSTICOS!D5,FIND("-",PRONÓSTICOS!D5)+1,10))=RESULTADOS!F5),3,IF(AND(VALUE(LEFT(PRONÓSTICOS!D5,FIND("-",PRONÓSTICOS!D5)-1))-VALUE(MID(PRONÓSTICOS!D5,FIND("-",PRONÓSTICOS!D5)+1,10))=RESULTADOS!E5-RESULTADOS!F5,VALUE(LEFT(PRONÓSTICOS!D5,FIND("-",PRONÓSTICOS!D5)-1))&lt;&gt;RESULTADOS!E5),2,IF(SIGN(VALUE(LEFT(PRONÓSTICOS!D5,FIND("-",PRONÓSTICOS!D5)-1))-VALUE(MID(PRONÓSTICOS!D5,FIND("-",PRONÓSTICOS!D5)+1,10)))=SIGN(RESULTADOS!E5-RESULTADOS!F5),1,0))))</f>
        <v/>
      </c>
      <c r="E4" s="70">
        <f>IF(OR(RESULTADOS!E5="",RESULTADOS!E5=0,RESULTADOS!F5=""),"—",IF(AND(VALUE(LEFT(PRONÓSTICOS!E5,FIND("-",PRONÓSTICOS!E5)-1))=RESULTADOS!E5,VALUE(MID(PRONÓSTICOS!E5,FIND("-",PRONÓSTICOS!E5)+1,10))=RESULTADOS!F5),3,IF(AND(VALUE(LEFT(PRONÓSTICOS!E5,FIND("-",PRONÓSTICOS!E5)-1))-VALUE(MID(PRONÓSTICOS!E5,FIND("-",PRONÓSTICOS!E5)+1,10))=RESULTADOS!E5-RESULTADOS!F5,VALUE(LEFT(PRONÓSTICOS!E5,FIND("-",PRONÓSTICOS!E5)-1))&lt;&gt;RESULTADOS!E5),2,IF(SIGN(VALUE(LEFT(PRONÓSTICOS!E5,FIND("-",PRONÓSTICOS!E5)-1))-VALUE(MID(PRONÓSTICOS!E5,FIND("-",PRONÓSTICOS!E5)+1,10)))=SIGN(RESULTADOS!E5-RESULTADOS!F5),1,0))))</f>
        <v/>
      </c>
      <c r="F4" s="70">
        <f>IF(OR(RESULTADOS!E5="",RESULTADOS!E5=0,RESULTADOS!F5=""),"—",IF(AND(VALUE(LEFT(PRONÓSTICOS!F5,FIND("-",PRONÓSTICOS!F5)-1))=RESULTADOS!E5,VALUE(MID(PRONÓSTICOS!F5,FIND("-",PRONÓSTICOS!F5)+1,10))=RESULTADOS!F5),3,IF(AND(VALUE(LEFT(PRONÓSTICOS!F5,FIND("-",PRONÓSTICOS!F5)-1))-VALUE(MID(PRONÓSTICOS!F5,FIND("-",PRONÓSTICOS!F5)+1,10))=RESULTADOS!E5-RESULTADOS!F5,VALUE(LEFT(PRONÓSTICOS!F5,FIND("-",PRONÓSTICOS!F5)-1))&lt;&gt;RESULTADOS!E5),2,IF(SIGN(VALUE(LEFT(PRONÓSTICOS!F5,FIND("-",PRONÓSTICOS!F5)-1))-VALUE(MID(PRONÓSTICOS!F5,FIND("-",PRONÓSTICOS!F5)+1,10)))=SIGN(RESULTADOS!E5-RESULTADOS!F5),1,0))))</f>
        <v/>
      </c>
      <c r="G4" s="70">
        <f>IF(OR(RESULTADOS!E5="",RESULTADOS!E5=0,RESULTADOS!F5=""),"—",IF(AND(VALUE(LEFT(PRONÓSTICOS!G5,FIND("-",PRONÓSTICOS!G5)-1))=RESULTADOS!E5,VALUE(MID(PRONÓSTICOS!G5,FIND("-",PRONÓSTICOS!G5)+1,10))=RESULTADOS!F5),3,IF(AND(VALUE(LEFT(PRONÓSTICOS!G5,FIND("-",PRONÓSTICOS!G5)-1))-VALUE(MID(PRONÓSTICOS!G5,FIND("-",PRONÓSTICOS!G5)+1,10))=RESULTADOS!E5-RESULTADOS!F5,VALUE(LEFT(PRONÓSTICOS!G5,FIND("-",PRONÓSTICOS!G5)-1))&lt;&gt;RESULTADOS!E5),2,IF(SIGN(VALUE(LEFT(PRONÓSTICOS!G5,FIND("-",PRONÓSTICOS!G5)-1))-VALUE(MID(PRONÓSTICOS!G5,FIND("-",PRONÓSTICOS!G5)+1,10)))=SIGN(RESULTADOS!E5-RESULTADOS!F5),1,0))))</f>
        <v/>
      </c>
      <c r="H4" s="70">
        <f>IF(OR(RESULTADOS!E5="",RESULTADOS!E5=0,RESULTADOS!F5=""),"—",IF(AND(VALUE(LEFT(PRONÓSTICOS!H5,FIND("-",PRONÓSTICOS!H5)-1))=RESULTADOS!E5,VALUE(MID(PRONÓSTICOS!H5,FIND("-",PRONÓSTICOS!H5)+1,10))=RESULTADOS!F5),3,IF(AND(VALUE(LEFT(PRONÓSTICOS!H5,FIND("-",PRONÓSTICOS!H5)-1))-VALUE(MID(PRONÓSTICOS!H5,FIND("-",PRONÓSTICOS!H5)+1,10))=RESULTADOS!E5-RESULTADOS!F5,VALUE(LEFT(PRONÓSTICOS!H5,FIND("-",PRONÓSTICOS!H5)-1))&lt;&gt;RESULTADOS!E5),2,IF(SIGN(VALUE(LEFT(PRONÓSTICOS!H5,FIND("-",PRONÓSTICOS!H5)-1))-VALUE(MID(PRONÓSTICOS!H5,FIND("-",PRONÓSTICOS!H5)+1,10)))=SIGN(RESULTADOS!E5-RESULTADOS!F5),1,0))))</f>
        <v/>
      </c>
      <c r="I4" s="70">
        <f>IF(OR(RESULTADOS!E5="",RESULTADOS!E5=0,RESULTADOS!F5=""),"—",IF(AND(VALUE(LEFT(PRONÓSTICOS!I5,FIND("-",PRONÓSTICOS!I5)-1))=RESULTADOS!E5,VALUE(MID(PRONÓSTICOS!I5,FIND("-",PRONÓSTICOS!I5)+1,10))=RESULTADOS!F5),3,IF(AND(VALUE(LEFT(PRONÓSTICOS!I5,FIND("-",PRONÓSTICOS!I5)-1))-VALUE(MID(PRONÓSTICOS!I5,FIND("-",PRONÓSTICOS!I5)+1,10))=RESULTADOS!E5-RESULTADOS!F5,VALUE(LEFT(PRONÓSTICOS!I5,FIND("-",PRONÓSTICOS!I5)-1))&lt;&gt;RESULTADOS!E5),2,IF(SIGN(VALUE(LEFT(PRONÓSTICOS!I5,FIND("-",PRONÓSTICOS!I5)-1))-VALUE(MID(PRONÓSTICOS!I5,FIND("-",PRONÓSTICOS!I5)+1,10)))=SIGN(RESULTADOS!E5-RESULTADOS!F5),1,0))))</f>
        <v/>
      </c>
      <c r="J4" s="70">
        <f>IF(OR(RESULTADOS!E5="",RESULTADOS!E5=0,RESULTADOS!F5=""),"—",IF(AND(VALUE(LEFT(PRONÓSTICOS!J5,FIND("-",PRONÓSTICOS!J5)-1))=RESULTADOS!E5,VALUE(MID(PRONÓSTICOS!J5,FIND("-",PRONÓSTICOS!J5)+1,10))=RESULTADOS!F5),3,IF(AND(VALUE(LEFT(PRONÓSTICOS!J5,FIND("-",PRONÓSTICOS!J5)-1))-VALUE(MID(PRONÓSTICOS!J5,FIND("-",PRONÓSTICOS!J5)+1,10))=RESULTADOS!E5-RESULTADOS!F5,VALUE(LEFT(PRONÓSTICOS!J5,FIND("-",PRONÓSTICOS!J5)-1))&lt;&gt;RESULTADOS!E5),2,IF(SIGN(VALUE(LEFT(PRONÓSTICOS!J5,FIND("-",PRONÓSTICOS!J5)-1))-VALUE(MID(PRONÓSTICOS!J5,FIND("-",PRONÓSTICOS!J5)+1,10)))=SIGN(RESULTADOS!E5-RESULTADOS!F5),1,0))))</f>
        <v/>
      </c>
      <c r="K4" s="70">
        <f>IF(OR(RESULTADOS!E5="",RESULTADOS!E5=0,RESULTADOS!F5=""),"—",IF(AND(VALUE(LEFT(PRONÓSTICOS!K5,FIND("-",PRONÓSTICOS!K5)-1))=RESULTADOS!E5,VALUE(MID(PRONÓSTICOS!K5,FIND("-",PRONÓSTICOS!K5)+1,10))=RESULTADOS!F5),3,IF(AND(VALUE(LEFT(PRONÓSTICOS!K5,FIND("-",PRONÓSTICOS!K5)-1))-VALUE(MID(PRONÓSTICOS!K5,FIND("-",PRONÓSTICOS!K5)+1,10))=RESULTADOS!E5-RESULTADOS!F5,VALUE(LEFT(PRONÓSTICOS!K5,FIND("-",PRONÓSTICOS!K5)-1))&lt;&gt;RESULTADOS!E5),2,IF(SIGN(VALUE(LEFT(PRONÓSTICOS!K5,FIND("-",PRONÓSTICOS!K5)-1))-VALUE(MID(PRONÓSTICOS!K5,FIND("-",PRONÓSTICOS!K5)+1,10)))=SIGN(RESULTADOS!E5-RESULTADOS!F5),1,0))))</f>
        <v/>
      </c>
      <c r="L4" s="70">
        <f>IF(OR(RESULTADOS!E5="",RESULTADOS!E5=0,RESULTADOS!F5=""),"—",IF(AND(VALUE(LEFT(PRONÓSTICOS!L5,FIND("-",PRONÓSTICOS!L5)-1))=RESULTADOS!E5,VALUE(MID(PRONÓSTICOS!L5,FIND("-",PRONÓSTICOS!L5)+1,10))=RESULTADOS!F5),3,IF(AND(VALUE(LEFT(PRONÓSTICOS!L5,FIND("-",PRONÓSTICOS!L5)-1))-VALUE(MID(PRONÓSTICOS!L5,FIND("-",PRONÓSTICOS!L5)+1,10))=RESULTADOS!E5-RESULTADOS!F5,VALUE(LEFT(PRONÓSTICOS!L5,FIND("-",PRONÓSTICOS!L5)-1))&lt;&gt;RESULTADOS!E5),2,IF(SIGN(VALUE(LEFT(PRONÓSTICOS!L5,FIND("-",PRONÓSTICOS!L5)-1))-VALUE(MID(PRONÓSTICOS!L5,FIND("-",PRONÓSTICOS!L5)+1,10)))=SIGN(RESULTADOS!E5-RESULTADOS!F5),1,0))))</f>
        <v/>
      </c>
    </row>
    <row r="5">
      <c r="A5" s="12" t="n">
        <v>3</v>
      </c>
      <c r="B5" s="12" t="inlineStr">
        <is>
          <t>Canadá vs Uruguay</t>
        </is>
      </c>
      <c r="C5" s="12">
        <f>IF(OR(RESULTADOS!E6="",RESULTADOS!E6=0,RESULTADOS!F6=""),"—",IF(AND(VALUE(LEFT(PRONÓSTICOS!C6,FIND("-",PRONÓSTICOS!C6)-1))=RESULTADOS!E6,VALUE(MID(PRONÓSTICOS!C6,FIND("-",PRONÓSTICOS!C6)+1,10))=RESULTADOS!F6),3,IF(AND(VALUE(LEFT(PRONÓSTICOS!C6,FIND("-",PRONÓSTICOS!C6)-1))-VALUE(MID(PRONÓSTICOS!C6,FIND("-",PRONÓSTICOS!C6)+1,10))=RESULTADOS!E6-RESULTADOS!F6,VALUE(LEFT(PRONÓSTICOS!C6,FIND("-",PRONÓSTICOS!C6)-1))&lt;&gt;RESULTADOS!E6),2,IF(SIGN(VALUE(LEFT(PRONÓSTICOS!C6,FIND("-",PRONÓSTICOS!C6)-1))-VALUE(MID(PRONÓSTICOS!C6,FIND("-",PRONÓSTICOS!C6)+1,10)))=SIGN(RESULTADOS!E6-RESULTADOS!F6),1,0))))</f>
        <v/>
      </c>
      <c r="D5" s="12">
        <f>IF(OR(RESULTADOS!E6="",RESULTADOS!E6=0,RESULTADOS!F6=""),"—",IF(AND(VALUE(LEFT(PRONÓSTICOS!D6,FIND("-",PRONÓSTICOS!D6)-1))=RESULTADOS!E6,VALUE(MID(PRONÓSTICOS!D6,FIND("-",PRONÓSTICOS!D6)+1,10))=RESULTADOS!F6),3,IF(AND(VALUE(LEFT(PRONÓSTICOS!D6,FIND("-",PRONÓSTICOS!D6)-1))-VALUE(MID(PRONÓSTICOS!D6,FIND("-",PRONÓSTICOS!D6)+1,10))=RESULTADOS!E6-RESULTADOS!F6,VALUE(LEFT(PRONÓSTICOS!D6,FIND("-",PRONÓSTICOS!D6)-1))&lt;&gt;RESULTADOS!E6),2,IF(SIGN(VALUE(LEFT(PRONÓSTICOS!D6,FIND("-",PRONÓSTICOS!D6)-1))-VALUE(MID(PRONÓSTICOS!D6,FIND("-",PRONÓSTICOS!D6)+1,10)))=SIGN(RESULTADOS!E6-RESULTADOS!F6),1,0))))</f>
        <v/>
      </c>
      <c r="E5" s="12">
        <f>IF(OR(RESULTADOS!E6="",RESULTADOS!E6=0,RESULTADOS!F6=""),"—",IF(AND(VALUE(LEFT(PRONÓSTICOS!E6,FIND("-",PRONÓSTICOS!E6)-1))=RESULTADOS!E6,VALUE(MID(PRONÓSTICOS!E6,FIND("-",PRONÓSTICOS!E6)+1,10))=RESULTADOS!F6),3,IF(AND(VALUE(LEFT(PRONÓSTICOS!E6,FIND("-",PRONÓSTICOS!E6)-1))-VALUE(MID(PRONÓSTICOS!E6,FIND("-",PRONÓSTICOS!E6)+1,10))=RESULTADOS!E6-RESULTADOS!F6,VALUE(LEFT(PRONÓSTICOS!E6,FIND("-",PRONÓSTICOS!E6)-1))&lt;&gt;RESULTADOS!E6),2,IF(SIGN(VALUE(LEFT(PRONÓSTICOS!E6,FIND("-",PRONÓSTICOS!E6)-1))-VALUE(MID(PRONÓSTICOS!E6,FIND("-",PRONÓSTICOS!E6)+1,10)))=SIGN(RESULTADOS!E6-RESULTADOS!F6),1,0))))</f>
        <v/>
      </c>
      <c r="F5" s="12">
        <f>IF(OR(RESULTADOS!E6="",RESULTADOS!E6=0,RESULTADOS!F6=""),"—",IF(AND(VALUE(LEFT(PRONÓSTICOS!F6,FIND("-",PRONÓSTICOS!F6)-1))=RESULTADOS!E6,VALUE(MID(PRONÓSTICOS!F6,FIND("-",PRONÓSTICOS!F6)+1,10))=RESULTADOS!F6),3,IF(AND(VALUE(LEFT(PRONÓSTICOS!F6,FIND("-",PRONÓSTICOS!F6)-1))-VALUE(MID(PRONÓSTICOS!F6,FIND("-",PRONÓSTICOS!F6)+1,10))=RESULTADOS!E6-RESULTADOS!F6,VALUE(LEFT(PRONÓSTICOS!F6,FIND("-",PRONÓSTICOS!F6)-1))&lt;&gt;RESULTADOS!E6),2,IF(SIGN(VALUE(LEFT(PRONÓSTICOS!F6,FIND("-",PRONÓSTICOS!F6)-1))-VALUE(MID(PRONÓSTICOS!F6,FIND("-",PRONÓSTICOS!F6)+1,10)))=SIGN(RESULTADOS!E6-RESULTADOS!F6),1,0))))</f>
        <v/>
      </c>
      <c r="G5" s="12">
        <f>IF(OR(RESULTADOS!E6="",RESULTADOS!E6=0,RESULTADOS!F6=""),"—",IF(AND(VALUE(LEFT(PRONÓSTICOS!G6,FIND("-",PRONÓSTICOS!G6)-1))=RESULTADOS!E6,VALUE(MID(PRONÓSTICOS!G6,FIND("-",PRONÓSTICOS!G6)+1,10))=RESULTADOS!F6),3,IF(AND(VALUE(LEFT(PRONÓSTICOS!G6,FIND("-",PRONÓSTICOS!G6)-1))-VALUE(MID(PRONÓSTICOS!G6,FIND("-",PRONÓSTICOS!G6)+1,10))=RESULTADOS!E6-RESULTADOS!F6,VALUE(LEFT(PRONÓSTICOS!G6,FIND("-",PRONÓSTICOS!G6)-1))&lt;&gt;RESULTADOS!E6),2,IF(SIGN(VALUE(LEFT(PRONÓSTICOS!G6,FIND("-",PRONÓSTICOS!G6)-1))-VALUE(MID(PRONÓSTICOS!G6,FIND("-",PRONÓSTICOS!G6)+1,10)))=SIGN(RESULTADOS!E6-RESULTADOS!F6),1,0))))</f>
        <v/>
      </c>
      <c r="H5" s="12">
        <f>IF(OR(RESULTADOS!E6="",RESULTADOS!E6=0,RESULTADOS!F6=""),"—",IF(AND(VALUE(LEFT(PRONÓSTICOS!H6,FIND("-",PRONÓSTICOS!H6)-1))=RESULTADOS!E6,VALUE(MID(PRONÓSTICOS!H6,FIND("-",PRONÓSTICOS!H6)+1,10))=RESULTADOS!F6),3,IF(AND(VALUE(LEFT(PRONÓSTICOS!H6,FIND("-",PRONÓSTICOS!H6)-1))-VALUE(MID(PRONÓSTICOS!H6,FIND("-",PRONÓSTICOS!H6)+1,10))=RESULTADOS!E6-RESULTADOS!F6,VALUE(LEFT(PRONÓSTICOS!H6,FIND("-",PRONÓSTICOS!H6)-1))&lt;&gt;RESULTADOS!E6),2,IF(SIGN(VALUE(LEFT(PRONÓSTICOS!H6,FIND("-",PRONÓSTICOS!H6)-1))-VALUE(MID(PRONÓSTICOS!H6,FIND("-",PRONÓSTICOS!H6)+1,10)))=SIGN(RESULTADOS!E6-RESULTADOS!F6),1,0))))</f>
        <v/>
      </c>
      <c r="I5" s="12">
        <f>IF(OR(RESULTADOS!E6="",RESULTADOS!E6=0,RESULTADOS!F6=""),"—",IF(AND(VALUE(LEFT(PRONÓSTICOS!I6,FIND("-",PRONÓSTICOS!I6)-1))=RESULTADOS!E6,VALUE(MID(PRONÓSTICOS!I6,FIND("-",PRONÓSTICOS!I6)+1,10))=RESULTADOS!F6),3,IF(AND(VALUE(LEFT(PRONÓSTICOS!I6,FIND("-",PRONÓSTICOS!I6)-1))-VALUE(MID(PRONÓSTICOS!I6,FIND("-",PRONÓSTICOS!I6)+1,10))=RESULTADOS!E6-RESULTADOS!F6,VALUE(LEFT(PRONÓSTICOS!I6,FIND("-",PRONÓSTICOS!I6)-1))&lt;&gt;RESULTADOS!E6),2,IF(SIGN(VALUE(LEFT(PRONÓSTICOS!I6,FIND("-",PRONÓSTICOS!I6)-1))-VALUE(MID(PRONÓSTICOS!I6,FIND("-",PRONÓSTICOS!I6)+1,10)))=SIGN(RESULTADOS!E6-RESULTADOS!F6),1,0))))</f>
        <v/>
      </c>
      <c r="J5" s="12">
        <f>IF(OR(RESULTADOS!E6="",RESULTADOS!E6=0,RESULTADOS!F6=""),"—",IF(AND(VALUE(LEFT(PRONÓSTICOS!J6,FIND("-",PRONÓSTICOS!J6)-1))=RESULTADOS!E6,VALUE(MID(PRONÓSTICOS!J6,FIND("-",PRONÓSTICOS!J6)+1,10))=RESULTADOS!F6),3,IF(AND(VALUE(LEFT(PRONÓSTICOS!J6,FIND("-",PRONÓSTICOS!J6)-1))-VALUE(MID(PRONÓSTICOS!J6,FIND("-",PRONÓSTICOS!J6)+1,10))=RESULTADOS!E6-RESULTADOS!F6,VALUE(LEFT(PRONÓSTICOS!J6,FIND("-",PRONÓSTICOS!J6)-1))&lt;&gt;RESULTADOS!E6),2,IF(SIGN(VALUE(LEFT(PRONÓSTICOS!J6,FIND("-",PRONÓSTICOS!J6)-1))-VALUE(MID(PRONÓSTICOS!J6,FIND("-",PRONÓSTICOS!J6)+1,10)))=SIGN(RESULTADOS!E6-RESULTADOS!F6),1,0))))</f>
        <v/>
      </c>
      <c r="K5" s="12">
        <f>IF(OR(RESULTADOS!E6="",RESULTADOS!E6=0,RESULTADOS!F6=""),"—",IF(AND(VALUE(LEFT(PRONÓSTICOS!K6,FIND("-",PRONÓSTICOS!K6)-1))=RESULTADOS!E6,VALUE(MID(PRONÓSTICOS!K6,FIND("-",PRONÓSTICOS!K6)+1,10))=RESULTADOS!F6),3,IF(AND(VALUE(LEFT(PRONÓSTICOS!K6,FIND("-",PRONÓSTICOS!K6)-1))-VALUE(MID(PRONÓSTICOS!K6,FIND("-",PRONÓSTICOS!K6)+1,10))=RESULTADOS!E6-RESULTADOS!F6,VALUE(LEFT(PRONÓSTICOS!K6,FIND("-",PRONÓSTICOS!K6)-1))&lt;&gt;RESULTADOS!E6),2,IF(SIGN(VALUE(LEFT(PRONÓSTICOS!K6,FIND("-",PRONÓSTICOS!K6)-1))-VALUE(MID(PRONÓSTICOS!K6,FIND("-",PRONÓSTICOS!K6)+1,10)))=SIGN(RESULTADOS!E6-RESULTADOS!F6),1,0))))</f>
        <v/>
      </c>
      <c r="L5" s="12">
        <f>IF(OR(RESULTADOS!E6="",RESULTADOS!E6=0,RESULTADOS!F6=""),"—",IF(AND(VALUE(LEFT(PRONÓSTICOS!L6,FIND("-",PRONÓSTICOS!L6)-1))=RESULTADOS!E6,VALUE(MID(PRONÓSTICOS!L6,FIND("-",PRONÓSTICOS!L6)+1,10))=RESULTADOS!F6),3,IF(AND(VALUE(LEFT(PRONÓSTICOS!L6,FIND("-",PRONÓSTICOS!L6)-1))-VALUE(MID(PRONÓSTICOS!L6,FIND("-",PRONÓSTICOS!L6)+1,10))=RESULTADOS!E6-RESULTADOS!F6,VALUE(LEFT(PRONÓSTICOS!L6,FIND("-",PRONÓSTICOS!L6)-1))&lt;&gt;RESULTADOS!E6),2,IF(SIGN(VALUE(LEFT(PRONÓSTICOS!L6,FIND("-",PRONÓSTICOS!L6)-1))-VALUE(MID(PRONÓSTICOS!L6,FIND("-",PRONÓSTICOS!L6)+1,10)))=SIGN(RESULTADOS!E6-RESULTADOS!F6),1,0))))</f>
        <v/>
      </c>
    </row>
    <row r="6">
      <c r="A6" s="70" t="n">
        <v>4</v>
      </c>
      <c r="B6" s="70" t="inlineStr">
        <is>
          <t>México vs Ecuador</t>
        </is>
      </c>
      <c r="C6" s="70">
        <f>IF(OR(RESULTADOS!E7="",RESULTADOS!E7=0,RESULTADOS!F7=""),"—",IF(AND(VALUE(LEFT(PRONÓSTICOS!C7,FIND("-",PRONÓSTICOS!C7)-1))=RESULTADOS!E7,VALUE(MID(PRONÓSTICOS!C7,FIND("-",PRONÓSTICOS!C7)+1,10))=RESULTADOS!F7),3,IF(AND(VALUE(LEFT(PRONÓSTICOS!C7,FIND("-",PRONÓSTICOS!C7)-1))-VALUE(MID(PRONÓSTICOS!C7,FIND("-",PRONÓSTICOS!C7)+1,10))=RESULTADOS!E7-RESULTADOS!F7,VALUE(LEFT(PRONÓSTICOS!C7,FIND("-",PRONÓSTICOS!C7)-1))&lt;&gt;RESULTADOS!E7),2,IF(SIGN(VALUE(LEFT(PRONÓSTICOS!C7,FIND("-",PRONÓSTICOS!C7)-1))-VALUE(MID(PRONÓSTICOS!C7,FIND("-",PRONÓSTICOS!C7)+1,10)))=SIGN(RESULTADOS!E7-RESULTADOS!F7),1,0))))</f>
        <v/>
      </c>
      <c r="D6" s="70">
        <f>IF(OR(RESULTADOS!E7="",RESULTADOS!E7=0,RESULTADOS!F7=""),"—",IF(AND(VALUE(LEFT(PRONÓSTICOS!D7,FIND("-",PRONÓSTICOS!D7)-1))=RESULTADOS!E7,VALUE(MID(PRONÓSTICOS!D7,FIND("-",PRONÓSTICOS!D7)+1,10))=RESULTADOS!F7),3,IF(AND(VALUE(LEFT(PRONÓSTICOS!D7,FIND("-",PRONÓSTICOS!D7)-1))-VALUE(MID(PRONÓSTICOS!D7,FIND("-",PRONÓSTICOS!D7)+1,10))=RESULTADOS!E7-RESULTADOS!F7,VALUE(LEFT(PRONÓSTICOS!D7,FIND("-",PRONÓSTICOS!D7)-1))&lt;&gt;RESULTADOS!E7),2,IF(SIGN(VALUE(LEFT(PRONÓSTICOS!D7,FIND("-",PRONÓSTICOS!D7)-1))-VALUE(MID(PRONÓSTICOS!D7,FIND("-",PRONÓSTICOS!D7)+1,10)))=SIGN(RESULTADOS!E7-RESULTADOS!F7),1,0))))</f>
        <v/>
      </c>
      <c r="E6" s="70">
        <f>IF(OR(RESULTADOS!E7="",RESULTADOS!E7=0,RESULTADOS!F7=""),"—",IF(AND(VALUE(LEFT(PRONÓSTICOS!E7,FIND("-",PRONÓSTICOS!E7)-1))=RESULTADOS!E7,VALUE(MID(PRONÓSTICOS!E7,FIND("-",PRONÓSTICOS!E7)+1,10))=RESULTADOS!F7),3,IF(AND(VALUE(LEFT(PRONÓSTICOS!E7,FIND("-",PRONÓSTICOS!E7)-1))-VALUE(MID(PRONÓSTICOS!E7,FIND("-",PRONÓSTICOS!E7)+1,10))=RESULTADOS!E7-RESULTADOS!F7,VALUE(LEFT(PRONÓSTICOS!E7,FIND("-",PRONÓSTICOS!E7)-1))&lt;&gt;RESULTADOS!E7),2,IF(SIGN(VALUE(LEFT(PRONÓSTICOS!E7,FIND("-",PRONÓSTICOS!E7)-1))-VALUE(MID(PRONÓSTICOS!E7,FIND("-",PRONÓSTICOS!E7)+1,10)))=SIGN(RESULTADOS!E7-RESULTADOS!F7),1,0))))</f>
        <v/>
      </c>
      <c r="F6" s="70">
        <f>IF(OR(RESULTADOS!E7="",RESULTADOS!E7=0,RESULTADOS!F7=""),"—",IF(AND(VALUE(LEFT(PRONÓSTICOS!F7,FIND("-",PRONÓSTICOS!F7)-1))=RESULTADOS!E7,VALUE(MID(PRONÓSTICOS!F7,FIND("-",PRONÓSTICOS!F7)+1,10))=RESULTADOS!F7),3,IF(AND(VALUE(LEFT(PRONÓSTICOS!F7,FIND("-",PRONÓSTICOS!F7)-1))-VALUE(MID(PRONÓSTICOS!F7,FIND("-",PRONÓSTICOS!F7)+1,10))=RESULTADOS!E7-RESULTADOS!F7,VALUE(LEFT(PRONÓSTICOS!F7,FIND("-",PRONÓSTICOS!F7)-1))&lt;&gt;RESULTADOS!E7),2,IF(SIGN(VALUE(LEFT(PRONÓSTICOS!F7,FIND("-",PRONÓSTICOS!F7)-1))-VALUE(MID(PRONÓSTICOS!F7,FIND("-",PRONÓSTICOS!F7)+1,10)))=SIGN(RESULTADOS!E7-RESULTADOS!F7),1,0))))</f>
        <v/>
      </c>
      <c r="G6" s="70">
        <f>IF(OR(RESULTADOS!E7="",RESULTADOS!E7=0,RESULTADOS!F7=""),"—",IF(AND(VALUE(LEFT(PRONÓSTICOS!G7,FIND("-",PRONÓSTICOS!G7)-1))=RESULTADOS!E7,VALUE(MID(PRONÓSTICOS!G7,FIND("-",PRONÓSTICOS!G7)+1,10))=RESULTADOS!F7),3,IF(AND(VALUE(LEFT(PRONÓSTICOS!G7,FIND("-",PRONÓSTICOS!G7)-1))-VALUE(MID(PRONÓSTICOS!G7,FIND("-",PRONÓSTICOS!G7)+1,10))=RESULTADOS!E7-RESULTADOS!F7,VALUE(LEFT(PRONÓSTICOS!G7,FIND("-",PRONÓSTICOS!G7)-1))&lt;&gt;RESULTADOS!E7),2,IF(SIGN(VALUE(LEFT(PRONÓSTICOS!G7,FIND("-",PRONÓSTICOS!G7)-1))-VALUE(MID(PRONÓSTICOS!G7,FIND("-",PRONÓSTICOS!G7)+1,10)))=SIGN(RESULTADOS!E7-RESULTADOS!F7),1,0))))</f>
        <v/>
      </c>
      <c r="H6" s="70">
        <f>IF(OR(RESULTADOS!E7="",RESULTADOS!E7=0,RESULTADOS!F7=""),"—",IF(AND(VALUE(LEFT(PRONÓSTICOS!H7,FIND("-",PRONÓSTICOS!H7)-1))=RESULTADOS!E7,VALUE(MID(PRONÓSTICOS!H7,FIND("-",PRONÓSTICOS!H7)+1,10))=RESULTADOS!F7),3,IF(AND(VALUE(LEFT(PRONÓSTICOS!H7,FIND("-",PRONÓSTICOS!H7)-1))-VALUE(MID(PRONÓSTICOS!H7,FIND("-",PRONÓSTICOS!H7)+1,10))=RESULTADOS!E7-RESULTADOS!F7,VALUE(LEFT(PRONÓSTICOS!H7,FIND("-",PRONÓSTICOS!H7)-1))&lt;&gt;RESULTADOS!E7),2,IF(SIGN(VALUE(LEFT(PRONÓSTICOS!H7,FIND("-",PRONÓSTICOS!H7)-1))-VALUE(MID(PRONÓSTICOS!H7,FIND("-",PRONÓSTICOS!H7)+1,10)))=SIGN(RESULTADOS!E7-RESULTADOS!F7),1,0))))</f>
        <v/>
      </c>
      <c r="I6" s="70">
        <f>IF(OR(RESULTADOS!E7="",RESULTADOS!E7=0,RESULTADOS!F7=""),"—",IF(AND(VALUE(LEFT(PRONÓSTICOS!I7,FIND("-",PRONÓSTICOS!I7)-1))=RESULTADOS!E7,VALUE(MID(PRONÓSTICOS!I7,FIND("-",PRONÓSTICOS!I7)+1,10))=RESULTADOS!F7),3,IF(AND(VALUE(LEFT(PRONÓSTICOS!I7,FIND("-",PRONÓSTICOS!I7)-1))-VALUE(MID(PRONÓSTICOS!I7,FIND("-",PRONÓSTICOS!I7)+1,10))=RESULTADOS!E7-RESULTADOS!F7,VALUE(LEFT(PRONÓSTICOS!I7,FIND("-",PRONÓSTICOS!I7)-1))&lt;&gt;RESULTADOS!E7),2,IF(SIGN(VALUE(LEFT(PRONÓSTICOS!I7,FIND("-",PRONÓSTICOS!I7)-1))-VALUE(MID(PRONÓSTICOS!I7,FIND("-",PRONÓSTICOS!I7)+1,10)))=SIGN(RESULTADOS!E7-RESULTADOS!F7),1,0))))</f>
        <v/>
      </c>
      <c r="J6" s="70">
        <f>IF(OR(RESULTADOS!E7="",RESULTADOS!E7=0,RESULTADOS!F7=""),"—",IF(AND(VALUE(LEFT(PRONÓSTICOS!J7,FIND("-",PRONÓSTICOS!J7)-1))=RESULTADOS!E7,VALUE(MID(PRONÓSTICOS!J7,FIND("-",PRONÓSTICOS!J7)+1,10))=RESULTADOS!F7),3,IF(AND(VALUE(LEFT(PRONÓSTICOS!J7,FIND("-",PRONÓSTICOS!J7)-1))-VALUE(MID(PRONÓSTICOS!J7,FIND("-",PRONÓSTICOS!J7)+1,10))=RESULTADOS!E7-RESULTADOS!F7,VALUE(LEFT(PRONÓSTICOS!J7,FIND("-",PRONÓSTICOS!J7)-1))&lt;&gt;RESULTADOS!E7),2,IF(SIGN(VALUE(LEFT(PRONÓSTICOS!J7,FIND("-",PRONÓSTICOS!J7)-1))-VALUE(MID(PRONÓSTICOS!J7,FIND("-",PRONÓSTICOS!J7)+1,10)))=SIGN(RESULTADOS!E7-RESULTADOS!F7),1,0))))</f>
        <v/>
      </c>
      <c r="K6" s="70">
        <f>IF(OR(RESULTADOS!E7="",RESULTADOS!E7=0,RESULTADOS!F7=""),"—",IF(AND(VALUE(LEFT(PRONÓSTICOS!K7,FIND("-",PRONÓSTICOS!K7)-1))=RESULTADOS!E7,VALUE(MID(PRONÓSTICOS!K7,FIND("-",PRONÓSTICOS!K7)+1,10))=RESULTADOS!F7),3,IF(AND(VALUE(LEFT(PRONÓSTICOS!K7,FIND("-",PRONÓSTICOS!K7)-1))-VALUE(MID(PRONÓSTICOS!K7,FIND("-",PRONÓSTICOS!K7)+1,10))=RESULTADOS!E7-RESULTADOS!F7,VALUE(LEFT(PRONÓSTICOS!K7,FIND("-",PRONÓSTICOS!K7)-1))&lt;&gt;RESULTADOS!E7),2,IF(SIGN(VALUE(LEFT(PRONÓSTICOS!K7,FIND("-",PRONÓSTICOS!K7)-1))-VALUE(MID(PRONÓSTICOS!K7,FIND("-",PRONÓSTICOS!K7)+1,10)))=SIGN(RESULTADOS!E7-RESULTADOS!F7),1,0))))</f>
        <v/>
      </c>
      <c r="L6" s="70">
        <f>IF(OR(RESULTADOS!E7="",RESULTADOS!E7=0,RESULTADOS!F7=""),"—",IF(AND(VALUE(LEFT(PRONÓSTICOS!L7,FIND("-",PRONÓSTICOS!L7)-1))=RESULTADOS!E7,VALUE(MID(PRONÓSTICOS!L7,FIND("-",PRONÓSTICOS!L7)+1,10))=RESULTADOS!F7),3,IF(AND(VALUE(LEFT(PRONÓSTICOS!L7,FIND("-",PRONÓSTICOS!L7)-1))-VALUE(MID(PRONÓSTICOS!L7,FIND("-",PRONÓSTICOS!L7)+1,10))=RESULTADOS!E7-RESULTADOS!F7,VALUE(LEFT(PRONÓSTICOS!L7,FIND("-",PRONÓSTICOS!L7)-1))&lt;&gt;RESULTADOS!E7),2,IF(SIGN(VALUE(LEFT(PRONÓSTICOS!L7,FIND("-",PRONÓSTICOS!L7)-1))-VALUE(MID(PRONÓSTICOS!L7,FIND("-",PRONÓSTICOS!L7)+1,10)))=SIGN(RESULTADOS!E7-RESULTADOS!F7),1,0))))</f>
        <v/>
      </c>
    </row>
    <row r="7">
      <c r="A7" s="12" t="n">
        <v>5</v>
      </c>
      <c r="B7" s="12" t="inlineStr">
        <is>
          <t>Jamaica vs México</t>
        </is>
      </c>
      <c r="C7" s="12">
        <f>IF(OR(RESULTADOS!E8="",RESULTADOS!E8=0,RESULTADOS!F8=""),"—",IF(AND(VALUE(LEFT(PRONÓSTICOS!C8,FIND("-",PRONÓSTICOS!C8)-1))=RESULTADOS!E8,VALUE(MID(PRONÓSTICOS!C8,FIND("-",PRONÓSTICOS!C8)+1,10))=RESULTADOS!F8),3,IF(AND(VALUE(LEFT(PRONÓSTICOS!C8,FIND("-",PRONÓSTICOS!C8)-1))-VALUE(MID(PRONÓSTICOS!C8,FIND("-",PRONÓSTICOS!C8)+1,10))=RESULTADOS!E8-RESULTADOS!F8,VALUE(LEFT(PRONÓSTICOS!C8,FIND("-",PRONÓSTICOS!C8)-1))&lt;&gt;RESULTADOS!E8),2,IF(SIGN(VALUE(LEFT(PRONÓSTICOS!C8,FIND("-",PRONÓSTICOS!C8)-1))-VALUE(MID(PRONÓSTICOS!C8,FIND("-",PRONÓSTICOS!C8)+1,10)))=SIGN(RESULTADOS!E8-RESULTADOS!F8),1,0))))</f>
        <v/>
      </c>
      <c r="D7" s="12">
        <f>IF(OR(RESULTADOS!E8="",RESULTADOS!E8=0,RESULTADOS!F8=""),"—",IF(AND(VALUE(LEFT(PRONÓSTICOS!D8,FIND("-",PRONÓSTICOS!D8)-1))=RESULTADOS!E8,VALUE(MID(PRONÓSTICOS!D8,FIND("-",PRONÓSTICOS!D8)+1,10))=RESULTADOS!F8),3,IF(AND(VALUE(LEFT(PRONÓSTICOS!D8,FIND("-",PRONÓSTICOS!D8)-1))-VALUE(MID(PRONÓSTICOS!D8,FIND("-",PRONÓSTICOS!D8)+1,10))=RESULTADOS!E8-RESULTADOS!F8,VALUE(LEFT(PRONÓSTICOS!D8,FIND("-",PRONÓSTICOS!D8)-1))&lt;&gt;RESULTADOS!E8),2,IF(SIGN(VALUE(LEFT(PRONÓSTICOS!D8,FIND("-",PRONÓSTICOS!D8)-1))-VALUE(MID(PRONÓSTICOS!D8,FIND("-",PRONÓSTICOS!D8)+1,10)))=SIGN(RESULTADOS!E8-RESULTADOS!F8),1,0))))</f>
        <v/>
      </c>
      <c r="E7" s="12">
        <f>IF(OR(RESULTADOS!E8="",RESULTADOS!E8=0,RESULTADOS!F8=""),"—",IF(AND(VALUE(LEFT(PRONÓSTICOS!E8,FIND("-",PRONÓSTICOS!E8)-1))=RESULTADOS!E8,VALUE(MID(PRONÓSTICOS!E8,FIND("-",PRONÓSTICOS!E8)+1,10))=RESULTADOS!F8),3,IF(AND(VALUE(LEFT(PRONÓSTICOS!E8,FIND("-",PRONÓSTICOS!E8)-1))-VALUE(MID(PRONÓSTICOS!E8,FIND("-",PRONÓSTICOS!E8)+1,10))=RESULTADOS!E8-RESULTADOS!F8,VALUE(LEFT(PRONÓSTICOS!E8,FIND("-",PRONÓSTICOS!E8)-1))&lt;&gt;RESULTADOS!E8),2,IF(SIGN(VALUE(LEFT(PRONÓSTICOS!E8,FIND("-",PRONÓSTICOS!E8)-1))-VALUE(MID(PRONÓSTICOS!E8,FIND("-",PRONÓSTICOS!E8)+1,10)))=SIGN(RESULTADOS!E8-RESULTADOS!F8),1,0))))</f>
        <v/>
      </c>
      <c r="F7" s="12">
        <f>IF(OR(RESULTADOS!E8="",RESULTADOS!E8=0,RESULTADOS!F8=""),"—",IF(AND(VALUE(LEFT(PRONÓSTICOS!F8,FIND("-",PRONÓSTICOS!F8)-1))=RESULTADOS!E8,VALUE(MID(PRONÓSTICOS!F8,FIND("-",PRONÓSTICOS!F8)+1,10))=RESULTADOS!F8),3,IF(AND(VALUE(LEFT(PRONÓSTICOS!F8,FIND("-",PRONÓSTICOS!F8)-1))-VALUE(MID(PRONÓSTICOS!F8,FIND("-",PRONÓSTICOS!F8)+1,10))=RESULTADOS!E8-RESULTADOS!F8,VALUE(LEFT(PRONÓSTICOS!F8,FIND("-",PRONÓSTICOS!F8)-1))&lt;&gt;RESULTADOS!E8),2,IF(SIGN(VALUE(LEFT(PRONÓSTICOS!F8,FIND("-",PRONÓSTICOS!F8)-1))-VALUE(MID(PRONÓSTICOS!F8,FIND("-",PRONÓSTICOS!F8)+1,10)))=SIGN(RESULTADOS!E8-RESULTADOS!F8),1,0))))</f>
        <v/>
      </c>
      <c r="G7" s="12">
        <f>IF(OR(RESULTADOS!E8="",RESULTADOS!E8=0,RESULTADOS!F8=""),"—",IF(AND(VALUE(LEFT(PRONÓSTICOS!G8,FIND("-",PRONÓSTICOS!G8)-1))=RESULTADOS!E8,VALUE(MID(PRONÓSTICOS!G8,FIND("-",PRONÓSTICOS!G8)+1,10))=RESULTADOS!F8),3,IF(AND(VALUE(LEFT(PRONÓSTICOS!G8,FIND("-",PRONÓSTICOS!G8)-1))-VALUE(MID(PRONÓSTICOS!G8,FIND("-",PRONÓSTICOS!G8)+1,10))=RESULTADOS!E8-RESULTADOS!F8,VALUE(LEFT(PRONÓSTICOS!G8,FIND("-",PRONÓSTICOS!G8)-1))&lt;&gt;RESULTADOS!E8),2,IF(SIGN(VALUE(LEFT(PRONÓSTICOS!G8,FIND("-",PRONÓSTICOS!G8)-1))-VALUE(MID(PRONÓSTICOS!G8,FIND("-",PRONÓSTICOS!G8)+1,10)))=SIGN(RESULTADOS!E8-RESULTADOS!F8),1,0))))</f>
        <v/>
      </c>
      <c r="H7" s="12">
        <f>IF(OR(RESULTADOS!E8="",RESULTADOS!E8=0,RESULTADOS!F8=""),"—",IF(AND(VALUE(LEFT(PRONÓSTICOS!H8,FIND("-",PRONÓSTICOS!H8)-1))=RESULTADOS!E8,VALUE(MID(PRONÓSTICOS!H8,FIND("-",PRONÓSTICOS!H8)+1,10))=RESULTADOS!F8),3,IF(AND(VALUE(LEFT(PRONÓSTICOS!H8,FIND("-",PRONÓSTICOS!H8)-1))-VALUE(MID(PRONÓSTICOS!H8,FIND("-",PRONÓSTICOS!H8)+1,10))=RESULTADOS!E8-RESULTADOS!F8,VALUE(LEFT(PRONÓSTICOS!H8,FIND("-",PRONÓSTICOS!H8)-1))&lt;&gt;RESULTADOS!E8),2,IF(SIGN(VALUE(LEFT(PRONÓSTICOS!H8,FIND("-",PRONÓSTICOS!H8)-1))-VALUE(MID(PRONÓSTICOS!H8,FIND("-",PRONÓSTICOS!H8)+1,10)))=SIGN(RESULTADOS!E8-RESULTADOS!F8),1,0))))</f>
        <v/>
      </c>
      <c r="I7" s="12">
        <f>IF(OR(RESULTADOS!E8="",RESULTADOS!E8=0,RESULTADOS!F8=""),"—",IF(AND(VALUE(LEFT(PRONÓSTICOS!I8,FIND("-",PRONÓSTICOS!I8)-1))=RESULTADOS!E8,VALUE(MID(PRONÓSTICOS!I8,FIND("-",PRONÓSTICOS!I8)+1,10))=RESULTADOS!F8),3,IF(AND(VALUE(LEFT(PRONÓSTICOS!I8,FIND("-",PRONÓSTICOS!I8)-1))-VALUE(MID(PRONÓSTICOS!I8,FIND("-",PRONÓSTICOS!I8)+1,10))=RESULTADOS!E8-RESULTADOS!F8,VALUE(LEFT(PRONÓSTICOS!I8,FIND("-",PRONÓSTICOS!I8)-1))&lt;&gt;RESULTADOS!E8),2,IF(SIGN(VALUE(LEFT(PRONÓSTICOS!I8,FIND("-",PRONÓSTICOS!I8)-1))-VALUE(MID(PRONÓSTICOS!I8,FIND("-",PRONÓSTICOS!I8)+1,10)))=SIGN(RESULTADOS!E8-RESULTADOS!F8),1,0))))</f>
        <v/>
      </c>
      <c r="J7" s="12">
        <f>IF(OR(RESULTADOS!E8="",RESULTADOS!E8=0,RESULTADOS!F8=""),"—",IF(AND(VALUE(LEFT(PRONÓSTICOS!J8,FIND("-",PRONÓSTICOS!J8)-1))=RESULTADOS!E8,VALUE(MID(PRONÓSTICOS!J8,FIND("-",PRONÓSTICOS!J8)+1,10))=RESULTADOS!F8),3,IF(AND(VALUE(LEFT(PRONÓSTICOS!J8,FIND("-",PRONÓSTICOS!J8)-1))-VALUE(MID(PRONÓSTICOS!J8,FIND("-",PRONÓSTICOS!J8)+1,10))=RESULTADOS!E8-RESULTADOS!F8,VALUE(LEFT(PRONÓSTICOS!J8,FIND("-",PRONÓSTICOS!J8)-1))&lt;&gt;RESULTADOS!E8),2,IF(SIGN(VALUE(LEFT(PRONÓSTICOS!J8,FIND("-",PRONÓSTICOS!J8)-1))-VALUE(MID(PRONÓSTICOS!J8,FIND("-",PRONÓSTICOS!J8)+1,10)))=SIGN(RESULTADOS!E8-RESULTADOS!F8),1,0))))</f>
        <v/>
      </c>
      <c r="K7" s="12">
        <f>IF(OR(RESULTADOS!E8="",RESULTADOS!E8=0,RESULTADOS!F8=""),"—",IF(AND(VALUE(LEFT(PRONÓSTICOS!K8,FIND("-",PRONÓSTICOS!K8)-1))=RESULTADOS!E8,VALUE(MID(PRONÓSTICOS!K8,FIND("-",PRONÓSTICOS!K8)+1,10))=RESULTADOS!F8),3,IF(AND(VALUE(LEFT(PRONÓSTICOS!K8,FIND("-",PRONÓSTICOS!K8)-1))-VALUE(MID(PRONÓSTICOS!K8,FIND("-",PRONÓSTICOS!K8)+1,10))=RESULTADOS!E8-RESULTADOS!F8,VALUE(LEFT(PRONÓSTICOS!K8,FIND("-",PRONÓSTICOS!K8)-1))&lt;&gt;RESULTADOS!E8),2,IF(SIGN(VALUE(LEFT(PRONÓSTICOS!K8,FIND("-",PRONÓSTICOS!K8)-1))-VALUE(MID(PRONÓSTICOS!K8,FIND("-",PRONÓSTICOS!K8)+1,10)))=SIGN(RESULTADOS!E8-RESULTADOS!F8),1,0))))</f>
        <v/>
      </c>
      <c r="L7" s="12">
        <f>IF(OR(RESULTADOS!E8="",RESULTADOS!E8=0,RESULTADOS!F8=""),"—",IF(AND(VALUE(LEFT(PRONÓSTICOS!L8,FIND("-",PRONÓSTICOS!L8)-1))=RESULTADOS!E8,VALUE(MID(PRONÓSTICOS!L8,FIND("-",PRONÓSTICOS!L8)+1,10))=RESULTADOS!F8),3,IF(AND(VALUE(LEFT(PRONÓSTICOS!L8,FIND("-",PRONÓSTICOS!L8)-1))-VALUE(MID(PRONÓSTICOS!L8,FIND("-",PRONÓSTICOS!L8)+1,10))=RESULTADOS!E8-RESULTADOS!F8,VALUE(LEFT(PRONÓSTICOS!L8,FIND("-",PRONÓSTICOS!L8)-1))&lt;&gt;RESULTADOS!E8),2,IF(SIGN(VALUE(LEFT(PRONÓSTICOS!L8,FIND("-",PRONÓSTICOS!L8)-1))-VALUE(MID(PRONÓSTICOS!L8,FIND("-",PRONÓSTICOS!L8)+1,10)))=SIGN(RESULTADOS!E8-RESULTADOS!F8),1,0))))</f>
        <v/>
      </c>
    </row>
    <row r="8">
      <c r="A8" s="70" t="n">
        <v>6</v>
      </c>
      <c r="B8" s="70" t="inlineStr">
        <is>
          <t>Ecuador vs Jamaica</t>
        </is>
      </c>
      <c r="C8" s="70">
        <f>IF(OR(RESULTADOS!E9="",RESULTADOS!E9=0,RESULTADOS!F9=""),"—",IF(AND(VALUE(LEFT(PRONÓSTICOS!C9,FIND("-",PRONÓSTICOS!C9)-1))=RESULTADOS!E9,VALUE(MID(PRONÓSTICOS!C9,FIND("-",PRONÓSTICOS!C9)+1,10))=RESULTADOS!F9),3,IF(AND(VALUE(LEFT(PRONÓSTICOS!C9,FIND("-",PRONÓSTICOS!C9)-1))-VALUE(MID(PRONÓSTICOS!C9,FIND("-",PRONÓSTICOS!C9)+1,10))=RESULTADOS!E9-RESULTADOS!F9,VALUE(LEFT(PRONÓSTICOS!C9,FIND("-",PRONÓSTICOS!C9)-1))&lt;&gt;RESULTADOS!E9),2,IF(SIGN(VALUE(LEFT(PRONÓSTICOS!C9,FIND("-",PRONÓSTICOS!C9)-1))-VALUE(MID(PRONÓSTICOS!C9,FIND("-",PRONÓSTICOS!C9)+1,10)))=SIGN(RESULTADOS!E9-RESULTADOS!F9),1,0))))</f>
        <v/>
      </c>
      <c r="D8" s="70">
        <f>IF(OR(RESULTADOS!E9="",RESULTADOS!E9=0,RESULTADOS!F9=""),"—",IF(AND(VALUE(LEFT(PRONÓSTICOS!D9,FIND("-",PRONÓSTICOS!D9)-1))=RESULTADOS!E9,VALUE(MID(PRONÓSTICOS!D9,FIND("-",PRONÓSTICOS!D9)+1,10))=RESULTADOS!F9),3,IF(AND(VALUE(LEFT(PRONÓSTICOS!D9,FIND("-",PRONÓSTICOS!D9)-1))-VALUE(MID(PRONÓSTICOS!D9,FIND("-",PRONÓSTICOS!D9)+1,10))=RESULTADOS!E9-RESULTADOS!F9,VALUE(LEFT(PRONÓSTICOS!D9,FIND("-",PRONÓSTICOS!D9)-1))&lt;&gt;RESULTADOS!E9),2,IF(SIGN(VALUE(LEFT(PRONÓSTICOS!D9,FIND("-",PRONÓSTICOS!D9)-1))-VALUE(MID(PRONÓSTICOS!D9,FIND("-",PRONÓSTICOS!D9)+1,10)))=SIGN(RESULTADOS!E9-RESULTADOS!F9),1,0))))</f>
        <v/>
      </c>
      <c r="E8" s="70">
        <f>IF(OR(RESULTADOS!E9="",RESULTADOS!E9=0,RESULTADOS!F9=""),"—",IF(AND(VALUE(LEFT(PRONÓSTICOS!E9,FIND("-",PRONÓSTICOS!E9)-1))=RESULTADOS!E9,VALUE(MID(PRONÓSTICOS!E9,FIND("-",PRONÓSTICOS!E9)+1,10))=RESULTADOS!F9),3,IF(AND(VALUE(LEFT(PRONÓSTICOS!E9,FIND("-",PRONÓSTICOS!E9)-1))-VALUE(MID(PRONÓSTICOS!E9,FIND("-",PRONÓSTICOS!E9)+1,10))=RESULTADOS!E9-RESULTADOS!F9,VALUE(LEFT(PRONÓSTICOS!E9,FIND("-",PRONÓSTICOS!E9)-1))&lt;&gt;RESULTADOS!E9),2,IF(SIGN(VALUE(LEFT(PRONÓSTICOS!E9,FIND("-",PRONÓSTICOS!E9)-1))-VALUE(MID(PRONÓSTICOS!E9,FIND("-",PRONÓSTICOS!E9)+1,10)))=SIGN(RESULTADOS!E9-RESULTADOS!F9),1,0))))</f>
        <v/>
      </c>
      <c r="F8" s="70">
        <f>IF(OR(RESULTADOS!E9="",RESULTADOS!E9=0,RESULTADOS!F9=""),"—",IF(AND(VALUE(LEFT(PRONÓSTICOS!F9,FIND("-",PRONÓSTICOS!F9)-1))=RESULTADOS!E9,VALUE(MID(PRONÓSTICOS!F9,FIND("-",PRONÓSTICOS!F9)+1,10))=RESULTADOS!F9),3,IF(AND(VALUE(LEFT(PRONÓSTICOS!F9,FIND("-",PRONÓSTICOS!F9)-1))-VALUE(MID(PRONÓSTICOS!F9,FIND("-",PRONÓSTICOS!F9)+1,10))=RESULTADOS!E9-RESULTADOS!F9,VALUE(LEFT(PRONÓSTICOS!F9,FIND("-",PRONÓSTICOS!F9)-1))&lt;&gt;RESULTADOS!E9),2,IF(SIGN(VALUE(LEFT(PRONÓSTICOS!F9,FIND("-",PRONÓSTICOS!F9)-1))-VALUE(MID(PRONÓSTICOS!F9,FIND("-",PRONÓSTICOS!F9)+1,10)))=SIGN(RESULTADOS!E9-RESULTADOS!F9),1,0))))</f>
        <v/>
      </c>
      <c r="G8" s="70">
        <f>IF(OR(RESULTADOS!E9="",RESULTADOS!E9=0,RESULTADOS!F9=""),"—",IF(AND(VALUE(LEFT(PRONÓSTICOS!G9,FIND("-",PRONÓSTICOS!G9)-1))=RESULTADOS!E9,VALUE(MID(PRONÓSTICOS!G9,FIND("-",PRONÓSTICOS!G9)+1,10))=RESULTADOS!F9),3,IF(AND(VALUE(LEFT(PRONÓSTICOS!G9,FIND("-",PRONÓSTICOS!G9)-1))-VALUE(MID(PRONÓSTICOS!G9,FIND("-",PRONÓSTICOS!G9)+1,10))=RESULTADOS!E9-RESULTADOS!F9,VALUE(LEFT(PRONÓSTICOS!G9,FIND("-",PRONÓSTICOS!G9)-1))&lt;&gt;RESULTADOS!E9),2,IF(SIGN(VALUE(LEFT(PRONÓSTICOS!G9,FIND("-",PRONÓSTICOS!G9)-1))-VALUE(MID(PRONÓSTICOS!G9,FIND("-",PRONÓSTICOS!G9)+1,10)))=SIGN(RESULTADOS!E9-RESULTADOS!F9),1,0))))</f>
        <v/>
      </c>
      <c r="H8" s="70">
        <f>IF(OR(RESULTADOS!E9="",RESULTADOS!E9=0,RESULTADOS!F9=""),"—",IF(AND(VALUE(LEFT(PRONÓSTICOS!H9,FIND("-",PRONÓSTICOS!H9)-1))=RESULTADOS!E9,VALUE(MID(PRONÓSTICOS!H9,FIND("-",PRONÓSTICOS!H9)+1,10))=RESULTADOS!F9),3,IF(AND(VALUE(LEFT(PRONÓSTICOS!H9,FIND("-",PRONÓSTICOS!H9)-1))-VALUE(MID(PRONÓSTICOS!H9,FIND("-",PRONÓSTICOS!H9)+1,10))=RESULTADOS!E9-RESULTADOS!F9,VALUE(LEFT(PRONÓSTICOS!H9,FIND("-",PRONÓSTICOS!H9)-1))&lt;&gt;RESULTADOS!E9),2,IF(SIGN(VALUE(LEFT(PRONÓSTICOS!H9,FIND("-",PRONÓSTICOS!H9)-1))-VALUE(MID(PRONÓSTICOS!H9,FIND("-",PRONÓSTICOS!H9)+1,10)))=SIGN(RESULTADOS!E9-RESULTADOS!F9),1,0))))</f>
        <v/>
      </c>
      <c r="I8" s="70">
        <f>IF(OR(RESULTADOS!E9="",RESULTADOS!E9=0,RESULTADOS!F9=""),"—",IF(AND(VALUE(LEFT(PRONÓSTICOS!I9,FIND("-",PRONÓSTICOS!I9)-1))=RESULTADOS!E9,VALUE(MID(PRONÓSTICOS!I9,FIND("-",PRONÓSTICOS!I9)+1,10))=RESULTADOS!F9),3,IF(AND(VALUE(LEFT(PRONÓSTICOS!I9,FIND("-",PRONÓSTICOS!I9)-1))-VALUE(MID(PRONÓSTICOS!I9,FIND("-",PRONÓSTICOS!I9)+1,10))=RESULTADOS!E9-RESULTADOS!F9,VALUE(LEFT(PRONÓSTICOS!I9,FIND("-",PRONÓSTICOS!I9)-1))&lt;&gt;RESULTADOS!E9),2,IF(SIGN(VALUE(LEFT(PRONÓSTICOS!I9,FIND("-",PRONÓSTICOS!I9)-1))-VALUE(MID(PRONÓSTICOS!I9,FIND("-",PRONÓSTICOS!I9)+1,10)))=SIGN(RESULTADOS!E9-RESULTADOS!F9),1,0))))</f>
        <v/>
      </c>
      <c r="J8" s="70">
        <f>IF(OR(RESULTADOS!E9="",RESULTADOS!E9=0,RESULTADOS!F9=""),"—",IF(AND(VALUE(LEFT(PRONÓSTICOS!J9,FIND("-",PRONÓSTICOS!J9)-1))=RESULTADOS!E9,VALUE(MID(PRONÓSTICOS!J9,FIND("-",PRONÓSTICOS!J9)+1,10))=RESULTADOS!F9),3,IF(AND(VALUE(LEFT(PRONÓSTICOS!J9,FIND("-",PRONÓSTICOS!J9)-1))-VALUE(MID(PRONÓSTICOS!J9,FIND("-",PRONÓSTICOS!J9)+1,10))=RESULTADOS!E9-RESULTADOS!F9,VALUE(LEFT(PRONÓSTICOS!J9,FIND("-",PRONÓSTICOS!J9)-1))&lt;&gt;RESULTADOS!E9),2,IF(SIGN(VALUE(LEFT(PRONÓSTICOS!J9,FIND("-",PRONÓSTICOS!J9)-1))-VALUE(MID(PRONÓSTICOS!J9,FIND("-",PRONÓSTICOS!J9)+1,10)))=SIGN(RESULTADOS!E9-RESULTADOS!F9),1,0))))</f>
        <v/>
      </c>
      <c r="K8" s="70">
        <f>IF(OR(RESULTADOS!E9="",RESULTADOS!E9=0,RESULTADOS!F9=""),"—",IF(AND(VALUE(LEFT(PRONÓSTICOS!K9,FIND("-",PRONÓSTICOS!K9)-1))=RESULTADOS!E9,VALUE(MID(PRONÓSTICOS!K9,FIND("-",PRONÓSTICOS!K9)+1,10))=RESULTADOS!F9),3,IF(AND(VALUE(LEFT(PRONÓSTICOS!K9,FIND("-",PRONÓSTICOS!K9)-1))-VALUE(MID(PRONÓSTICOS!K9,FIND("-",PRONÓSTICOS!K9)+1,10))=RESULTADOS!E9-RESULTADOS!F9,VALUE(LEFT(PRONÓSTICOS!K9,FIND("-",PRONÓSTICOS!K9)-1))&lt;&gt;RESULTADOS!E9),2,IF(SIGN(VALUE(LEFT(PRONÓSTICOS!K9,FIND("-",PRONÓSTICOS!K9)-1))-VALUE(MID(PRONÓSTICOS!K9,FIND("-",PRONÓSTICOS!K9)+1,10)))=SIGN(RESULTADOS!E9-RESULTADOS!F9),1,0))))</f>
        <v/>
      </c>
      <c r="L8" s="70">
        <f>IF(OR(RESULTADOS!E9="",RESULTADOS!E9=0,RESULTADOS!F9=""),"—",IF(AND(VALUE(LEFT(PRONÓSTICOS!L9,FIND("-",PRONÓSTICOS!L9)-1))=RESULTADOS!E9,VALUE(MID(PRONÓSTICOS!L9,FIND("-",PRONÓSTICOS!L9)+1,10))=RESULTADOS!F9),3,IF(AND(VALUE(LEFT(PRONÓSTICOS!L9,FIND("-",PRONÓSTICOS!L9)-1))-VALUE(MID(PRONÓSTICOS!L9,FIND("-",PRONÓSTICOS!L9)+1,10))=RESULTADOS!E9-RESULTADOS!F9,VALUE(LEFT(PRONÓSTICOS!L9,FIND("-",PRONÓSTICOS!L9)-1))&lt;&gt;RESULTADOS!E9),2,IF(SIGN(VALUE(LEFT(PRONÓSTICOS!L9,FIND("-",PRONÓSTICOS!L9)-1))-VALUE(MID(PRONÓSTICOS!L9,FIND("-",PRONÓSTICOS!L9)+1,10)))=SIGN(RESULTADOS!E9-RESULTADOS!F9),1,0))))</f>
        <v/>
      </c>
    </row>
    <row r="9">
      <c r="A9" s="12" t="n">
        <v>7</v>
      </c>
      <c r="B9" s="12" t="inlineStr">
        <is>
          <t>Argentina vs Chile</t>
        </is>
      </c>
      <c r="C9" s="12">
        <f>IF(OR(RESULTADOS!E10="",RESULTADOS!E10=0,RESULTADOS!F10=""),"—",IF(AND(VALUE(LEFT(PRONÓSTICOS!C10,FIND("-",PRONÓSTICOS!C10)-1))=RESULTADOS!E10,VALUE(MID(PRONÓSTICOS!C10,FIND("-",PRONÓSTICOS!C10)+1,10))=RESULTADOS!F10),3,IF(AND(VALUE(LEFT(PRONÓSTICOS!C10,FIND("-",PRONÓSTICOS!C10)-1))-VALUE(MID(PRONÓSTICOS!C10,FIND("-",PRONÓSTICOS!C10)+1,10))=RESULTADOS!E10-RESULTADOS!F10,VALUE(LEFT(PRONÓSTICOS!C10,FIND("-",PRONÓSTICOS!C10)-1))&lt;&gt;RESULTADOS!E10),2,IF(SIGN(VALUE(LEFT(PRONÓSTICOS!C10,FIND("-",PRONÓSTICOS!C10)-1))-VALUE(MID(PRONÓSTICOS!C10,FIND("-",PRONÓSTICOS!C10)+1,10)))=SIGN(RESULTADOS!E10-RESULTADOS!F10),1,0))))</f>
        <v/>
      </c>
      <c r="D9" s="12">
        <f>IF(OR(RESULTADOS!E10="",RESULTADOS!E10=0,RESULTADOS!F10=""),"—",IF(AND(VALUE(LEFT(PRONÓSTICOS!D10,FIND("-",PRONÓSTICOS!D10)-1))=RESULTADOS!E10,VALUE(MID(PRONÓSTICOS!D10,FIND("-",PRONÓSTICOS!D10)+1,10))=RESULTADOS!F10),3,IF(AND(VALUE(LEFT(PRONÓSTICOS!D10,FIND("-",PRONÓSTICOS!D10)-1))-VALUE(MID(PRONÓSTICOS!D10,FIND("-",PRONÓSTICOS!D10)+1,10))=RESULTADOS!E10-RESULTADOS!F10,VALUE(LEFT(PRONÓSTICOS!D10,FIND("-",PRONÓSTICOS!D10)-1))&lt;&gt;RESULTADOS!E10),2,IF(SIGN(VALUE(LEFT(PRONÓSTICOS!D10,FIND("-",PRONÓSTICOS!D10)-1))-VALUE(MID(PRONÓSTICOS!D10,FIND("-",PRONÓSTICOS!D10)+1,10)))=SIGN(RESULTADOS!E10-RESULTADOS!F10),1,0))))</f>
        <v/>
      </c>
      <c r="E9" s="12">
        <f>IF(OR(RESULTADOS!E10="",RESULTADOS!E10=0,RESULTADOS!F10=""),"—",IF(AND(VALUE(LEFT(PRONÓSTICOS!E10,FIND("-",PRONÓSTICOS!E10)-1))=RESULTADOS!E10,VALUE(MID(PRONÓSTICOS!E10,FIND("-",PRONÓSTICOS!E10)+1,10))=RESULTADOS!F10),3,IF(AND(VALUE(LEFT(PRONÓSTICOS!E10,FIND("-",PRONÓSTICOS!E10)-1))-VALUE(MID(PRONÓSTICOS!E10,FIND("-",PRONÓSTICOS!E10)+1,10))=RESULTADOS!E10-RESULTADOS!F10,VALUE(LEFT(PRONÓSTICOS!E10,FIND("-",PRONÓSTICOS!E10)-1))&lt;&gt;RESULTADOS!E10),2,IF(SIGN(VALUE(LEFT(PRONÓSTICOS!E10,FIND("-",PRONÓSTICOS!E10)-1))-VALUE(MID(PRONÓSTICOS!E10,FIND("-",PRONÓSTICOS!E10)+1,10)))=SIGN(RESULTADOS!E10-RESULTADOS!F10),1,0))))</f>
        <v/>
      </c>
      <c r="F9" s="12">
        <f>IF(OR(RESULTADOS!E10="",RESULTADOS!E10=0,RESULTADOS!F10=""),"—",IF(AND(VALUE(LEFT(PRONÓSTICOS!F10,FIND("-",PRONÓSTICOS!F10)-1))=RESULTADOS!E10,VALUE(MID(PRONÓSTICOS!F10,FIND("-",PRONÓSTICOS!F10)+1,10))=RESULTADOS!F10),3,IF(AND(VALUE(LEFT(PRONÓSTICOS!F10,FIND("-",PRONÓSTICOS!F10)-1))-VALUE(MID(PRONÓSTICOS!F10,FIND("-",PRONÓSTICOS!F10)+1,10))=RESULTADOS!E10-RESULTADOS!F10,VALUE(LEFT(PRONÓSTICOS!F10,FIND("-",PRONÓSTICOS!F10)-1))&lt;&gt;RESULTADOS!E10),2,IF(SIGN(VALUE(LEFT(PRONÓSTICOS!F10,FIND("-",PRONÓSTICOS!F10)-1))-VALUE(MID(PRONÓSTICOS!F10,FIND("-",PRONÓSTICOS!F10)+1,10)))=SIGN(RESULTADOS!E10-RESULTADOS!F10),1,0))))</f>
        <v/>
      </c>
      <c r="G9" s="12">
        <f>IF(OR(RESULTADOS!E10="",RESULTADOS!E10=0,RESULTADOS!F10=""),"—",IF(AND(VALUE(LEFT(PRONÓSTICOS!G10,FIND("-",PRONÓSTICOS!G10)-1))=RESULTADOS!E10,VALUE(MID(PRONÓSTICOS!G10,FIND("-",PRONÓSTICOS!G10)+1,10))=RESULTADOS!F10),3,IF(AND(VALUE(LEFT(PRONÓSTICOS!G10,FIND("-",PRONÓSTICOS!G10)-1))-VALUE(MID(PRONÓSTICOS!G10,FIND("-",PRONÓSTICOS!G10)+1,10))=RESULTADOS!E10-RESULTADOS!F10,VALUE(LEFT(PRONÓSTICOS!G10,FIND("-",PRONÓSTICOS!G10)-1))&lt;&gt;RESULTADOS!E10),2,IF(SIGN(VALUE(LEFT(PRONÓSTICOS!G10,FIND("-",PRONÓSTICOS!G10)-1))-VALUE(MID(PRONÓSTICOS!G10,FIND("-",PRONÓSTICOS!G10)+1,10)))=SIGN(RESULTADOS!E10-RESULTADOS!F10),1,0))))</f>
        <v/>
      </c>
      <c r="H9" s="12">
        <f>IF(OR(RESULTADOS!E10="",RESULTADOS!E10=0,RESULTADOS!F10=""),"—",IF(AND(VALUE(LEFT(PRONÓSTICOS!H10,FIND("-",PRONÓSTICOS!H10)-1))=RESULTADOS!E10,VALUE(MID(PRONÓSTICOS!H10,FIND("-",PRONÓSTICOS!H10)+1,10))=RESULTADOS!F10),3,IF(AND(VALUE(LEFT(PRONÓSTICOS!H10,FIND("-",PRONÓSTICOS!H10)-1))-VALUE(MID(PRONÓSTICOS!H10,FIND("-",PRONÓSTICOS!H10)+1,10))=RESULTADOS!E10-RESULTADOS!F10,VALUE(LEFT(PRONÓSTICOS!H10,FIND("-",PRONÓSTICOS!H10)-1))&lt;&gt;RESULTADOS!E10),2,IF(SIGN(VALUE(LEFT(PRONÓSTICOS!H10,FIND("-",PRONÓSTICOS!H10)-1))-VALUE(MID(PRONÓSTICOS!H10,FIND("-",PRONÓSTICOS!H10)+1,10)))=SIGN(RESULTADOS!E10-RESULTADOS!F10),1,0))))</f>
        <v/>
      </c>
      <c r="I9" s="12">
        <f>IF(OR(RESULTADOS!E10="",RESULTADOS!E10=0,RESULTADOS!F10=""),"—",IF(AND(VALUE(LEFT(PRONÓSTICOS!I10,FIND("-",PRONÓSTICOS!I10)-1))=RESULTADOS!E10,VALUE(MID(PRONÓSTICOS!I10,FIND("-",PRONÓSTICOS!I10)+1,10))=RESULTADOS!F10),3,IF(AND(VALUE(LEFT(PRONÓSTICOS!I10,FIND("-",PRONÓSTICOS!I10)-1))-VALUE(MID(PRONÓSTICOS!I10,FIND("-",PRONÓSTICOS!I10)+1,10))=RESULTADOS!E10-RESULTADOS!F10,VALUE(LEFT(PRONÓSTICOS!I10,FIND("-",PRONÓSTICOS!I10)-1))&lt;&gt;RESULTADOS!E10),2,IF(SIGN(VALUE(LEFT(PRONÓSTICOS!I10,FIND("-",PRONÓSTICOS!I10)-1))-VALUE(MID(PRONÓSTICOS!I10,FIND("-",PRONÓSTICOS!I10)+1,10)))=SIGN(RESULTADOS!E10-RESULTADOS!F10),1,0))))</f>
        <v/>
      </c>
      <c r="J9" s="12">
        <f>IF(OR(RESULTADOS!E10="",RESULTADOS!E10=0,RESULTADOS!F10=""),"—",IF(AND(VALUE(LEFT(PRONÓSTICOS!J10,FIND("-",PRONÓSTICOS!J10)-1))=RESULTADOS!E10,VALUE(MID(PRONÓSTICOS!J10,FIND("-",PRONÓSTICOS!J10)+1,10))=RESULTADOS!F10),3,IF(AND(VALUE(LEFT(PRONÓSTICOS!J10,FIND("-",PRONÓSTICOS!J10)-1))-VALUE(MID(PRONÓSTICOS!J10,FIND("-",PRONÓSTICOS!J10)+1,10))=RESULTADOS!E10-RESULTADOS!F10,VALUE(LEFT(PRONÓSTICOS!J10,FIND("-",PRONÓSTICOS!J10)-1))&lt;&gt;RESULTADOS!E10),2,IF(SIGN(VALUE(LEFT(PRONÓSTICOS!J10,FIND("-",PRONÓSTICOS!J10)-1))-VALUE(MID(PRONÓSTICOS!J10,FIND("-",PRONÓSTICOS!J10)+1,10)))=SIGN(RESULTADOS!E10-RESULTADOS!F10),1,0))))</f>
        <v/>
      </c>
      <c r="K9" s="12">
        <f>IF(OR(RESULTADOS!E10="",RESULTADOS!E10=0,RESULTADOS!F10=""),"—",IF(AND(VALUE(LEFT(PRONÓSTICOS!K10,FIND("-",PRONÓSTICOS!K10)-1))=RESULTADOS!E10,VALUE(MID(PRONÓSTICOS!K10,FIND("-",PRONÓSTICOS!K10)+1,10))=RESULTADOS!F10),3,IF(AND(VALUE(LEFT(PRONÓSTICOS!K10,FIND("-",PRONÓSTICOS!K10)-1))-VALUE(MID(PRONÓSTICOS!K10,FIND("-",PRONÓSTICOS!K10)+1,10))=RESULTADOS!E10-RESULTADOS!F10,VALUE(LEFT(PRONÓSTICOS!K10,FIND("-",PRONÓSTICOS!K10)-1))&lt;&gt;RESULTADOS!E10),2,IF(SIGN(VALUE(LEFT(PRONÓSTICOS!K10,FIND("-",PRONÓSTICOS!K10)-1))-VALUE(MID(PRONÓSTICOS!K10,FIND("-",PRONÓSTICOS!K10)+1,10)))=SIGN(RESULTADOS!E10-RESULTADOS!F10),1,0))))</f>
        <v/>
      </c>
      <c r="L9" s="12">
        <f>IF(OR(RESULTADOS!E10="",RESULTADOS!E10=0,RESULTADOS!F10=""),"—",IF(AND(VALUE(LEFT(PRONÓSTICOS!L10,FIND("-",PRONÓSTICOS!L10)-1))=RESULTADOS!E10,VALUE(MID(PRONÓSTICOS!L10,FIND("-",PRONÓSTICOS!L10)+1,10))=RESULTADOS!F10),3,IF(AND(VALUE(LEFT(PRONÓSTICOS!L10,FIND("-",PRONÓSTICOS!L10)-1))-VALUE(MID(PRONÓSTICOS!L10,FIND("-",PRONÓSTICOS!L10)+1,10))=RESULTADOS!E10-RESULTADOS!F10,VALUE(LEFT(PRONÓSTICOS!L10,FIND("-",PRONÓSTICOS!L10)-1))&lt;&gt;RESULTADOS!E10),2,IF(SIGN(VALUE(LEFT(PRONÓSTICOS!L10,FIND("-",PRONÓSTICOS!L10)-1))-VALUE(MID(PRONÓSTICOS!L10,FIND("-",PRONÓSTICOS!L10)+1,10)))=SIGN(RESULTADOS!E10-RESULTADOS!F10),1,0))))</f>
        <v/>
      </c>
    </row>
    <row r="10">
      <c r="A10" s="70" t="n">
        <v>8</v>
      </c>
      <c r="B10" s="70" t="inlineStr">
        <is>
          <t>Albania vs Argentina</t>
        </is>
      </c>
      <c r="C10" s="70">
        <f>IF(OR(RESULTADOS!E11="",RESULTADOS!E11=0,RESULTADOS!F11=""),"—",IF(AND(VALUE(LEFT(PRONÓSTICOS!C11,FIND("-",PRONÓSTICOS!C11)-1))=RESULTADOS!E11,VALUE(MID(PRONÓSTICOS!C11,FIND("-",PRONÓSTICOS!C11)+1,10))=RESULTADOS!F11),3,IF(AND(VALUE(LEFT(PRONÓSTICOS!C11,FIND("-",PRONÓSTICOS!C11)-1))-VALUE(MID(PRONÓSTICOS!C11,FIND("-",PRONÓSTICOS!C11)+1,10))=RESULTADOS!E11-RESULTADOS!F11,VALUE(LEFT(PRONÓSTICOS!C11,FIND("-",PRONÓSTICOS!C11)-1))&lt;&gt;RESULTADOS!E11),2,IF(SIGN(VALUE(LEFT(PRONÓSTICOS!C11,FIND("-",PRONÓSTICOS!C11)-1))-VALUE(MID(PRONÓSTICOS!C11,FIND("-",PRONÓSTICOS!C11)+1,10)))=SIGN(RESULTADOS!E11-RESULTADOS!F11),1,0))))</f>
        <v/>
      </c>
      <c r="D10" s="70">
        <f>IF(OR(RESULTADOS!E11="",RESULTADOS!E11=0,RESULTADOS!F11=""),"—",IF(AND(VALUE(LEFT(PRONÓSTICOS!D11,FIND("-",PRONÓSTICOS!D11)-1))=RESULTADOS!E11,VALUE(MID(PRONÓSTICOS!D11,FIND("-",PRONÓSTICOS!D11)+1,10))=RESULTADOS!F11),3,IF(AND(VALUE(LEFT(PRONÓSTICOS!D11,FIND("-",PRONÓSTICOS!D11)-1))-VALUE(MID(PRONÓSTICOS!D11,FIND("-",PRONÓSTICOS!D11)+1,10))=RESULTADOS!E11-RESULTADOS!F11,VALUE(LEFT(PRONÓSTICOS!D11,FIND("-",PRONÓSTICOS!D11)-1))&lt;&gt;RESULTADOS!E11),2,IF(SIGN(VALUE(LEFT(PRONÓSTICOS!D11,FIND("-",PRONÓSTICOS!D11)-1))-VALUE(MID(PRONÓSTICOS!D11,FIND("-",PRONÓSTICOS!D11)+1,10)))=SIGN(RESULTADOS!E11-RESULTADOS!F11),1,0))))</f>
        <v/>
      </c>
      <c r="E10" s="70">
        <f>IF(OR(RESULTADOS!E11="",RESULTADOS!E11=0,RESULTADOS!F11=""),"—",IF(AND(VALUE(LEFT(PRONÓSTICOS!E11,FIND("-",PRONÓSTICOS!E11)-1))=RESULTADOS!E11,VALUE(MID(PRONÓSTICOS!E11,FIND("-",PRONÓSTICOS!E11)+1,10))=RESULTADOS!F11),3,IF(AND(VALUE(LEFT(PRONÓSTICOS!E11,FIND("-",PRONÓSTICOS!E11)-1))-VALUE(MID(PRONÓSTICOS!E11,FIND("-",PRONÓSTICOS!E11)+1,10))=RESULTADOS!E11-RESULTADOS!F11,VALUE(LEFT(PRONÓSTICOS!E11,FIND("-",PRONÓSTICOS!E11)-1))&lt;&gt;RESULTADOS!E11),2,IF(SIGN(VALUE(LEFT(PRONÓSTICOS!E11,FIND("-",PRONÓSTICOS!E11)-1))-VALUE(MID(PRONÓSTICOS!E11,FIND("-",PRONÓSTICOS!E11)+1,10)))=SIGN(RESULTADOS!E11-RESULTADOS!F11),1,0))))</f>
        <v/>
      </c>
      <c r="F10" s="70">
        <f>IF(OR(RESULTADOS!E11="",RESULTADOS!E11=0,RESULTADOS!F11=""),"—",IF(AND(VALUE(LEFT(PRONÓSTICOS!F11,FIND("-",PRONÓSTICOS!F11)-1))=RESULTADOS!E11,VALUE(MID(PRONÓSTICOS!F11,FIND("-",PRONÓSTICOS!F11)+1,10))=RESULTADOS!F11),3,IF(AND(VALUE(LEFT(PRONÓSTICOS!F11,FIND("-",PRONÓSTICOS!F11)-1))-VALUE(MID(PRONÓSTICOS!F11,FIND("-",PRONÓSTICOS!F11)+1,10))=RESULTADOS!E11-RESULTADOS!F11,VALUE(LEFT(PRONÓSTICOS!F11,FIND("-",PRONÓSTICOS!F11)-1))&lt;&gt;RESULTADOS!E11),2,IF(SIGN(VALUE(LEFT(PRONÓSTICOS!F11,FIND("-",PRONÓSTICOS!F11)-1))-VALUE(MID(PRONÓSTICOS!F11,FIND("-",PRONÓSTICOS!F11)+1,10)))=SIGN(RESULTADOS!E11-RESULTADOS!F11),1,0))))</f>
        <v/>
      </c>
      <c r="G10" s="70">
        <f>IF(OR(RESULTADOS!E11="",RESULTADOS!E11=0,RESULTADOS!F11=""),"—",IF(AND(VALUE(LEFT(PRONÓSTICOS!G11,FIND("-",PRONÓSTICOS!G11)-1))=RESULTADOS!E11,VALUE(MID(PRONÓSTICOS!G11,FIND("-",PRONÓSTICOS!G11)+1,10))=RESULTADOS!F11),3,IF(AND(VALUE(LEFT(PRONÓSTICOS!G11,FIND("-",PRONÓSTICOS!G11)-1))-VALUE(MID(PRONÓSTICOS!G11,FIND("-",PRONÓSTICOS!G11)+1,10))=RESULTADOS!E11-RESULTADOS!F11,VALUE(LEFT(PRONÓSTICOS!G11,FIND("-",PRONÓSTICOS!G11)-1))&lt;&gt;RESULTADOS!E11),2,IF(SIGN(VALUE(LEFT(PRONÓSTICOS!G11,FIND("-",PRONÓSTICOS!G11)-1))-VALUE(MID(PRONÓSTICOS!G11,FIND("-",PRONÓSTICOS!G11)+1,10)))=SIGN(RESULTADOS!E11-RESULTADOS!F11),1,0))))</f>
        <v/>
      </c>
      <c r="H10" s="70">
        <f>IF(OR(RESULTADOS!E11="",RESULTADOS!E11=0,RESULTADOS!F11=""),"—",IF(AND(VALUE(LEFT(PRONÓSTICOS!H11,FIND("-",PRONÓSTICOS!H11)-1))=RESULTADOS!E11,VALUE(MID(PRONÓSTICOS!H11,FIND("-",PRONÓSTICOS!H11)+1,10))=RESULTADOS!F11),3,IF(AND(VALUE(LEFT(PRONÓSTICOS!H11,FIND("-",PRONÓSTICOS!H11)-1))-VALUE(MID(PRONÓSTICOS!H11,FIND("-",PRONÓSTICOS!H11)+1,10))=RESULTADOS!E11-RESULTADOS!F11,VALUE(LEFT(PRONÓSTICOS!H11,FIND("-",PRONÓSTICOS!H11)-1))&lt;&gt;RESULTADOS!E11),2,IF(SIGN(VALUE(LEFT(PRONÓSTICOS!H11,FIND("-",PRONÓSTICOS!H11)-1))-VALUE(MID(PRONÓSTICOS!H11,FIND("-",PRONÓSTICOS!H11)+1,10)))=SIGN(RESULTADOS!E11-RESULTADOS!F11),1,0))))</f>
        <v/>
      </c>
      <c r="I10" s="70">
        <f>IF(OR(RESULTADOS!E11="",RESULTADOS!E11=0,RESULTADOS!F11=""),"—",IF(AND(VALUE(LEFT(PRONÓSTICOS!I11,FIND("-",PRONÓSTICOS!I11)-1))=RESULTADOS!E11,VALUE(MID(PRONÓSTICOS!I11,FIND("-",PRONÓSTICOS!I11)+1,10))=RESULTADOS!F11),3,IF(AND(VALUE(LEFT(PRONÓSTICOS!I11,FIND("-",PRONÓSTICOS!I11)-1))-VALUE(MID(PRONÓSTICOS!I11,FIND("-",PRONÓSTICOS!I11)+1,10))=RESULTADOS!E11-RESULTADOS!F11,VALUE(LEFT(PRONÓSTICOS!I11,FIND("-",PRONÓSTICOS!I11)-1))&lt;&gt;RESULTADOS!E11),2,IF(SIGN(VALUE(LEFT(PRONÓSTICOS!I11,FIND("-",PRONÓSTICOS!I11)-1))-VALUE(MID(PRONÓSTICOS!I11,FIND("-",PRONÓSTICOS!I11)+1,10)))=SIGN(RESULTADOS!E11-RESULTADOS!F11),1,0))))</f>
        <v/>
      </c>
      <c r="J10" s="70">
        <f>IF(OR(RESULTADOS!E11="",RESULTADOS!E11=0,RESULTADOS!F11=""),"—",IF(AND(VALUE(LEFT(PRONÓSTICOS!J11,FIND("-",PRONÓSTICOS!J11)-1))=RESULTADOS!E11,VALUE(MID(PRONÓSTICOS!J11,FIND("-",PRONÓSTICOS!J11)+1,10))=RESULTADOS!F11),3,IF(AND(VALUE(LEFT(PRONÓSTICOS!J11,FIND("-",PRONÓSTICOS!J11)-1))-VALUE(MID(PRONÓSTICOS!J11,FIND("-",PRONÓSTICOS!J11)+1,10))=RESULTADOS!E11-RESULTADOS!F11,VALUE(LEFT(PRONÓSTICOS!J11,FIND("-",PRONÓSTICOS!J11)-1))&lt;&gt;RESULTADOS!E11),2,IF(SIGN(VALUE(LEFT(PRONÓSTICOS!J11,FIND("-",PRONÓSTICOS!J11)-1))-VALUE(MID(PRONÓSTICOS!J11,FIND("-",PRONÓSTICOS!J11)+1,10)))=SIGN(RESULTADOS!E11-RESULTADOS!F11),1,0))))</f>
        <v/>
      </c>
      <c r="K10" s="70">
        <f>IF(OR(RESULTADOS!E11="",RESULTADOS!E11=0,RESULTADOS!F11=""),"—",IF(AND(VALUE(LEFT(PRONÓSTICOS!K11,FIND("-",PRONÓSTICOS!K11)-1))=RESULTADOS!E11,VALUE(MID(PRONÓSTICOS!K11,FIND("-",PRONÓSTICOS!K11)+1,10))=RESULTADOS!F11),3,IF(AND(VALUE(LEFT(PRONÓSTICOS!K11,FIND("-",PRONÓSTICOS!K11)-1))-VALUE(MID(PRONÓSTICOS!K11,FIND("-",PRONÓSTICOS!K11)+1,10))=RESULTADOS!E11-RESULTADOS!F11,VALUE(LEFT(PRONÓSTICOS!K11,FIND("-",PRONÓSTICOS!K11)-1))&lt;&gt;RESULTADOS!E11),2,IF(SIGN(VALUE(LEFT(PRONÓSTICOS!K11,FIND("-",PRONÓSTICOS!K11)-1))-VALUE(MID(PRONÓSTICOS!K11,FIND("-",PRONÓSTICOS!K11)+1,10)))=SIGN(RESULTADOS!E11-RESULTADOS!F11),1,0))))</f>
        <v/>
      </c>
      <c r="L10" s="70">
        <f>IF(OR(RESULTADOS!E11="",RESULTADOS!E11=0,RESULTADOS!F11=""),"—",IF(AND(VALUE(LEFT(PRONÓSTICOS!L11,FIND("-",PRONÓSTICOS!L11)-1))=RESULTADOS!E11,VALUE(MID(PRONÓSTICOS!L11,FIND("-",PRONÓSTICOS!L11)+1,10))=RESULTADOS!F11),3,IF(AND(VALUE(LEFT(PRONÓSTICOS!L11,FIND("-",PRONÓSTICOS!L11)-1))-VALUE(MID(PRONÓSTICOS!L11,FIND("-",PRONÓSTICOS!L11)+1,10))=RESULTADOS!E11-RESULTADOS!F11,VALUE(LEFT(PRONÓSTICOS!L11,FIND("-",PRONÓSTICOS!L11)-1))&lt;&gt;RESULTADOS!E11),2,IF(SIGN(VALUE(LEFT(PRONÓSTICOS!L11,FIND("-",PRONÓSTICOS!L11)-1))-VALUE(MID(PRONÓSTICOS!L11,FIND("-",PRONÓSTICOS!L11)+1,10)))=SIGN(RESULTADOS!E11-RESULTADOS!F11),1,0))))</f>
        <v/>
      </c>
    </row>
    <row r="11">
      <c r="A11" s="12" t="n">
        <v>9</v>
      </c>
      <c r="B11" s="12" t="inlineStr">
        <is>
          <t>Chile vs Albania</t>
        </is>
      </c>
      <c r="C11" s="12">
        <f>IF(OR(RESULTADOS!E12="",RESULTADOS!E12=0,RESULTADOS!F12=""),"—",IF(AND(VALUE(LEFT(PRONÓSTICOS!C12,FIND("-",PRONÓSTICOS!C12)-1))=RESULTADOS!E12,VALUE(MID(PRONÓSTICOS!C12,FIND("-",PRONÓSTICOS!C12)+1,10))=RESULTADOS!F12),3,IF(AND(VALUE(LEFT(PRONÓSTICOS!C12,FIND("-",PRONÓSTICOS!C12)-1))-VALUE(MID(PRONÓSTICOS!C12,FIND("-",PRONÓSTICOS!C12)+1,10))=RESULTADOS!E12-RESULTADOS!F12,VALUE(LEFT(PRONÓSTICOS!C12,FIND("-",PRONÓSTICOS!C12)-1))&lt;&gt;RESULTADOS!E12),2,IF(SIGN(VALUE(LEFT(PRONÓSTICOS!C12,FIND("-",PRONÓSTICOS!C12)-1))-VALUE(MID(PRONÓSTICOS!C12,FIND("-",PRONÓSTICOS!C12)+1,10)))=SIGN(RESULTADOS!E12-RESULTADOS!F12),1,0))))</f>
        <v/>
      </c>
      <c r="D11" s="12">
        <f>IF(OR(RESULTADOS!E12="",RESULTADOS!E12=0,RESULTADOS!F12=""),"—",IF(AND(VALUE(LEFT(PRONÓSTICOS!D12,FIND("-",PRONÓSTICOS!D12)-1))=RESULTADOS!E12,VALUE(MID(PRONÓSTICOS!D12,FIND("-",PRONÓSTICOS!D12)+1,10))=RESULTADOS!F12),3,IF(AND(VALUE(LEFT(PRONÓSTICOS!D12,FIND("-",PRONÓSTICOS!D12)-1))-VALUE(MID(PRONÓSTICOS!D12,FIND("-",PRONÓSTICOS!D12)+1,10))=RESULTADOS!E12-RESULTADOS!F12,VALUE(LEFT(PRONÓSTICOS!D12,FIND("-",PRONÓSTICOS!D12)-1))&lt;&gt;RESULTADOS!E12),2,IF(SIGN(VALUE(LEFT(PRONÓSTICOS!D12,FIND("-",PRONÓSTICOS!D12)-1))-VALUE(MID(PRONÓSTICOS!D12,FIND("-",PRONÓSTICOS!D12)+1,10)))=SIGN(RESULTADOS!E12-RESULTADOS!F12),1,0))))</f>
        <v/>
      </c>
      <c r="E11" s="12">
        <f>IF(OR(RESULTADOS!E12="",RESULTADOS!E12=0,RESULTADOS!F12=""),"—",IF(AND(VALUE(LEFT(PRONÓSTICOS!E12,FIND("-",PRONÓSTICOS!E12)-1))=RESULTADOS!E12,VALUE(MID(PRONÓSTICOS!E12,FIND("-",PRONÓSTICOS!E12)+1,10))=RESULTADOS!F12),3,IF(AND(VALUE(LEFT(PRONÓSTICOS!E12,FIND("-",PRONÓSTICOS!E12)-1))-VALUE(MID(PRONÓSTICOS!E12,FIND("-",PRONÓSTICOS!E12)+1,10))=RESULTADOS!E12-RESULTADOS!F12,VALUE(LEFT(PRONÓSTICOS!E12,FIND("-",PRONÓSTICOS!E12)-1))&lt;&gt;RESULTADOS!E12),2,IF(SIGN(VALUE(LEFT(PRONÓSTICOS!E12,FIND("-",PRONÓSTICOS!E12)-1))-VALUE(MID(PRONÓSTICOS!E12,FIND("-",PRONÓSTICOS!E12)+1,10)))=SIGN(RESULTADOS!E12-RESULTADOS!F12),1,0))))</f>
        <v/>
      </c>
      <c r="F11" s="12">
        <f>IF(OR(RESULTADOS!E12="",RESULTADOS!E12=0,RESULTADOS!F12=""),"—",IF(AND(VALUE(LEFT(PRONÓSTICOS!F12,FIND("-",PRONÓSTICOS!F12)-1))=RESULTADOS!E12,VALUE(MID(PRONÓSTICOS!F12,FIND("-",PRONÓSTICOS!F12)+1,10))=RESULTADOS!F12),3,IF(AND(VALUE(LEFT(PRONÓSTICOS!F12,FIND("-",PRONÓSTICOS!F12)-1))-VALUE(MID(PRONÓSTICOS!F12,FIND("-",PRONÓSTICOS!F12)+1,10))=RESULTADOS!E12-RESULTADOS!F12,VALUE(LEFT(PRONÓSTICOS!F12,FIND("-",PRONÓSTICOS!F12)-1))&lt;&gt;RESULTADOS!E12),2,IF(SIGN(VALUE(LEFT(PRONÓSTICOS!F12,FIND("-",PRONÓSTICOS!F12)-1))-VALUE(MID(PRONÓSTICOS!F12,FIND("-",PRONÓSTICOS!F12)+1,10)))=SIGN(RESULTADOS!E12-RESULTADOS!F12),1,0))))</f>
        <v/>
      </c>
      <c r="G11" s="12">
        <f>IF(OR(RESULTADOS!E12="",RESULTADOS!E12=0,RESULTADOS!F12=""),"—",IF(AND(VALUE(LEFT(PRONÓSTICOS!G12,FIND("-",PRONÓSTICOS!G12)-1))=RESULTADOS!E12,VALUE(MID(PRONÓSTICOS!G12,FIND("-",PRONÓSTICOS!G12)+1,10))=RESULTADOS!F12),3,IF(AND(VALUE(LEFT(PRONÓSTICOS!G12,FIND("-",PRONÓSTICOS!G12)-1))-VALUE(MID(PRONÓSTICOS!G12,FIND("-",PRONÓSTICOS!G12)+1,10))=RESULTADOS!E12-RESULTADOS!F12,VALUE(LEFT(PRONÓSTICOS!G12,FIND("-",PRONÓSTICOS!G12)-1))&lt;&gt;RESULTADOS!E12),2,IF(SIGN(VALUE(LEFT(PRONÓSTICOS!G12,FIND("-",PRONÓSTICOS!G12)-1))-VALUE(MID(PRONÓSTICOS!G12,FIND("-",PRONÓSTICOS!G12)+1,10)))=SIGN(RESULTADOS!E12-RESULTADOS!F12),1,0))))</f>
        <v/>
      </c>
      <c r="H11" s="12">
        <f>IF(OR(RESULTADOS!E12="",RESULTADOS!E12=0,RESULTADOS!F12=""),"—",IF(AND(VALUE(LEFT(PRONÓSTICOS!H12,FIND("-",PRONÓSTICOS!H12)-1))=RESULTADOS!E12,VALUE(MID(PRONÓSTICOS!H12,FIND("-",PRONÓSTICOS!H12)+1,10))=RESULTADOS!F12),3,IF(AND(VALUE(LEFT(PRONÓSTICOS!H12,FIND("-",PRONÓSTICOS!H12)-1))-VALUE(MID(PRONÓSTICOS!H12,FIND("-",PRONÓSTICOS!H12)+1,10))=RESULTADOS!E12-RESULTADOS!F12,VALUE(LEFT(PRONÓSTICOS!H12,FIND("-",PRONÓSTICOS!H12)-1))&lt;&gt;RESULTADOS!E12),2,IF(SIGN(VALUE(LEFT(PRONÓSTICOS!H12,FIND("-",PRONÓSTICOS!H12)-1))-VALUE(MID(PRONÓSTICOS!H12,FIND("-",PRONÓSTICOS!H12)+1,10)))=SIGN(RESULTADOS!E12-RESULTADOS!F12),1,0))))</f>
        <v/>
      </c>
      <c r="I11" s="12">
        <f>IF(OR(RESULTADOS!E12="",RESULTADOS!E12=0,RESULTADOS!F12=""),"—",IF(AND(VALUE(LEFT(PRONÓSTICOS!I12,FIND("-",PRONÓSTICOS!I12)-1))=RESULTADOS!E12,VALUE(MID(PRONÓSTICOS!I12,FIND("-",PRONÓSTICOS!I12)+1,10))=RESULTADOS!F12),3,IF(AND(VALUE(LEFT(PRONÓSTICOS!I12,FIND("-",PRONÓSTICOS!I12)-1))-VALUE(MID(PRONÓSTICOS!I12,FIND("-",PRONÓSTICOS!I12)+1,10))=RESULTADOS!E12-RESULTADOS!F12,VALUE(LEFT(PRONÓSTICOS!I12,FIND("-",PRONÓSTICOS!I12)-1))&lt;&gt;RESULTADOS!E12),2,IF(SIGN(VALUE(LEFT(PRONÓSTICOS!I12,FIND("-",PRONÓSTICOS!I12)-1))-VALUE(MID(PRONÓSTICOS!I12,FIND("-",PRONÓSTICOS!I12)+1,10)))=SIGN(RESULTADOS!E12-RESULTADOS!F12),1,0))))</f>
        <v/>
      </c>
      <c r="J11" s="12">
        <f>IF(OR(RESULTADOS!E12="",RESULTADOS!E12=0,RESULTADOS!F12=""),"—",IF(AND(VALUE(LEFT(PRONÓSTICOS!J12,FIND("-",PRONÓSTICOS!J12)-1))=RESULTADOS!E12,VALUE(MID(PRONÓSTICOS!J12,FIND("-",PRONÓSTICOS!J12)+1,10))=RESULTADOS!F12),3,IF(AND(VALUE(LEFT(PRONÓSTICOS!J12,FIND("-",PRONÓSTICOS!J12)-1))-VALUE(MID(PRONÓSTICOS!J12,FIND("-",PRONÓSTICOS!J12)+1,10))=RESULTADOS!E12-RESULTADOS!F12,VALUE(LEFT(PRONÓSTICOS!J12,FIND("-",PRONÓSTICOS!J12)-1))&lt;&gt;RESULTADOS!E12),2,IF(SIGN(VALUE(LEFT(PRONÓSTICOS!J12,FIND("-",PRONÓSTICOS!J12)-1))-VALUE(MID(PRONÓSTICOS!J12,FIND("-",PRONÓSTICOS!J12)+1,10)))=SIGN(RESULTADOS!E12-RESULTADOS!F12),1,0))))</f>
        <v/>
      </c>
      <c r="K11" s="12">
        <f>IF(OR(RESULTADOS!E12="",RESULTADOS!E12=0,RESULTADOS!F12=""),"—",IF(AND(VALUE(LEFT(PRONÓSTICOS!K12,FIND("-",PRONÓSTICOS!K12)-1))=RESULTADOS!E12,VALUE(MID(PRONÓSTICOS!K12,FIND("-",PRONÓSTICOS!K12)+1,10))=RESULTADOS!F12),3,IF(AND(VALUE(LEFT(PRONÓSTICOS!K12,FIND("-",PRONÓSTICOS!K12)-1))-VALUE(MID(PRONÓSTICOS!K12,FIND("-",PRONÓSTICOS!K12)+1,10))=RESULTADOS!E12-RESULTADOS!F12,VALUE(LEFT(PRONÓSTICOS!K12,FIND("-",PRONÓSTICOS!K12)-1))&lt;&gt;RESULTADOS!E12),2,IF(SIGN(VALUE(LEFT(PRONÓSTICOS!K12,FIND("-",PRONÓSTICOS!K12)-1))-VALUE(MID(PRONÓSTICOS!K12,FIND("-",PRONÓSTICOS!K12)+1,10)))=SIGN(RESULTADOS!E12-RESULTADOS!F12),1,0))))</f>
        <v/>
      </c>
      <c r="L11" s="12">
        <f>IF(OR(RESULTADOS!E12="",RESULTADOS!E12=0,RESULTADOS!F12=""),"—",IF(AND(VALUE(LEFT(PRONÓSTICOS!L12,FIND("-",PRONÓSTICOS!L12)-1))=RESULTADOS!E12,VALUE(MID(PRONÓSTICOS!L12,FIND("-",PRONÓSTICOS!L12)+1,10))=RESULTADOS!F12),3,IF(AND(VALUE(LEFT(PRONÓSTICOS!L12,FIND("-",PRONÓSTICOS!L12)-1))-VALUE(MID(PRONÓSTICOS!L12,FIND("-",PRONÓSTICOS!L12)+1,10))=RESULTADOS!E12-RESULTADOS!F12,VALUE(LEFT(PRONÓSTICOS!L12,FIND("-",PRONÓSTICOS!L12)-1))&lt;&gt;RESULTADOS!E12),2,IF(SIGN(VALUE(LEFT(PRONÓSTICOS!L12,FIND("-",PRONÓSTICOS!L12)-1))-VALUE(MID(PRONÓSTICOS!L12,FIND("-",PRONÓSTICOS!L12)+1,10)))=SIGN(RESULTADOS!E12-RESULTADOS!F12),1,0))))</f>
        <v/>
      </c>
    </row>
    <row r="12">
      <c r="A12" s="70" t="n">
        <v>10</v>
      </c>
      <c r="B12" s="70" t="inlineStr">
        <is>
          <t>Brasil vs Colombia</t>
        </is>
      </c>
      <c r="C12" s="70">
        <f>IF(OR(RESULTADOS!E13="",RESULTADOS!E13=0,RESULTADOS!F13=""),"—",IF(AND(VALUE(LEFT(PRONÓSTICOS!C13,FIND("-",PRONÓSTICOS!C13)-1))=RESULTADOS!E13,VALUE(MID(PRONÓSTICOS!C13,FIND("-",PRONÓSTICOS!C13)+1,10))=RESULTADOS!F13),3,IF(AND(VALUE(LEFT(PRONÓSTICOS!C13,FIND("-",PRONÓSTICOS!C13)-1))-VALUE(MID(PRONÓSTICOS!C13,FIND("-",PRONÓSTICOS!C13)+1,10))=RESULTADOS!E13-RESULTADOS!F13,VALUE(LEFT(PRONÓSTICOS!C13,FIND("-",PRONÓSTICOS!C13)-1))&lt;&gt;RESULTADOS!E13),2,IF(SIGN(VALUE(LEFT(PRONÓSTICOS!C13,FIND("-",PRONÓSTICOS!C13)-1))-VALUE(MID(PRONÓSTICOS!C13,FIND("-",PRONÓSTICOS!C13)+1,10)))=SIGN(RESULTADOS!E13-RESULTADOS!F13),1,0))))</f>
        <v/>
      </c>
      <c r="D12" s="70">
        <f>IF(OR(RESULTADOS!E13="",RESULTADOS!E13=0,RESULTADOS!F13=""),"—",IF(AND(VALUE(LEFT(PRONÓSTICOS!D13,FIND("-",PRONÓSTICOS!D13)-1))=RESULTADOS!E13,VALUE(MID(PRONÓSTICOS!D13,FIND("-",PRONÓSTICOS!D13)+1,10))=RESULTADOS!F13),3,IF(AND(VALUE(LEFT(PRONÓSTICOS!D13,FIND("-",PRONÓSTICOS!D13)-1))-VALUE(MID(PRONÓSTICOS!D13,FIND("-",PRONÓSTICOS!D13)+1,10))=RESULTADOS!E13-RESULTADOS!F13,VALUE(LEFT(PRONÓSTICOS!D13,FIND("-",PRONÓSTICOS!D13)-1))&lt;&gt;RESULTADOS!E13),2,IF(SIGN(VALUE(LEFT(PRONÓSTICOS!D13,FIND("-",PRONÓSTICOS!D13)-1))-VALUE(MID(PRONÓSTICOS!D13,FIND("-",PRONÓSTICOS!D13)+1,10)))=SIGN(RESULTADOS!E13-RESULTADOS!F13),1,0))))</f>
        <v/>
      </c>
      <c r="E12" s="70">
        <f>IF(OR(RESULTADOS!E13="",RESULTADOS!E13=0,RESULTADOS!F13=""),"—",IF(AND(VALUE(LEFT(PRONÓSTICOS!E13,FIND("-",PRONÓSTICOS!E13)-1))=RESULTADOS!E13,VALUE(MID(PRONÓSTICOS!E13,FIND("-",PRONÓSTICOS!E13)+1,10))=RESULTADOS!F13),3,IF(AND(VALUE(LEFT(PRONÓSTICOS!E13,FIND("-",PRONÓSTICOS!E13)-1))-VALUE(MID(PRONÓSTICOS!E13,FIND("-",PRONÓSTICOS!E13)+1,10))=RESULTADOS!E13-RESULTADOS!F13,VALUE(LEFT(PRONÓSTICOS!E13,FIND("-",PRONÓSTICOS!E13)-1))&lt;&gt;RESULTADOS!E13),2,IF(SIGN(VALUE(LEFT(PRONÓSTICOS!E13,FIND("-",PRONÓSTICOS!E13)-1))-VALUE(MID(PRONÓSTICOS!E13,FIND("-",PRONÓSTICOS!E13)+1,10)))=SIGN(RESULTADOS!E13-RESULTADOS!F13),1,0))))</f>
        <v/>
      </c>
      <c r="F12" s="70">
        <f>IF(OR(RESULTADOS!E13="",RESULTADOS!E13=0,RESULTADOS!F13=""),"—",IF(AND(VALUE(LEFT(PRONÓSTICOS!F13,FIND("-",PRONÓSTICOS!F13)-1))=RESULTADOS!E13,VALUE(MID(PRONÓSTICOS!F13,FIND("-",PRONÓSTICOS!F13)+1,10))=RESULTADOS!F13),3,IF(AND(VALUE(LEFT(PRONÓSTICOS!F13,FIND("-",PRONÓSTICOS!F13)-1))-VALUE(MID(PRONÓSTICOS!F13,FIND("-",PRONÓSTICOS!F13)+1,10))=RESULTADOS!E13-RESULTADOS!F13,VALUE(LEFT(PRONÓSTICOS!F13,FIND("-",PRONÓSTICOS!F13)-1))&lt;&gt;RESULTADOS!E13),2,IF(SIGN(VALUE(LEFT(PRONÓSTICOS!F13,FIND("-",PRONÓSTICOS!F13)-1))-VALUE(MID(PRONÓSTICOS!F13,FIND("-",PRONÓSTICOS!F13)+1,10)))=SIGN(RESULTADOS!E13-RESULTADOS!F13),1,0))))</f>
        <v/>
      </c>
      <c r="G12" s="70">
        <f>IF(OR(RESULTADOS!E13="",RESULTADOS!E13=0,RESULTADOS!F13=""),"—",IF(AND(VALUE(LEFT(PRONÓSTICOS!G13,FIND("-",PRONÓSTICOS!G13)-1))=RESULTADOS!E13,VALUE(MID(PRONÓSTICOS!G13,FIND("-",PRONÓSTICOS!G13)+1,10))=RESULTADOS!F13),3,IF(AND(VALUE(LEFT(PRONÓSTICOS!G13,FIND("-",PRONÓSTICOS!G13)-1))-VALUE(MID(PRONÓSTICOS!G13,FIND("-",PRONÓSTICOS!G13)+1,10))=RESULTADOS!E13-RESULTADOS!F13,VALUE(LEFT(PRONÓSTICOS!G13,FIND("-",PRONÓSTICOS!G13)-1))&lt;&gt;RESULTADOS!E13),2,IF(SIGN(VALUE(LEFT(PRONÓSTICOS!G13,FIND("-",PRONÓSTICOS!G13)-1))-VALUE(MID(PRONÓSTICOS!G13,FIND("-",PRONÓSTICOS!G13)+1,10)))=SIGN(RESULTADOS!E13-RESULTADOS!F13),1,0))))</f>
        <v/>
      </c>
      <c r="H12" s="70">
        <f>IF(OR(RESULTADOS!E13="",RESULTADOS!E13=0,RESULTADOS!F13=""),"—",IF(AND(VALUE(LEFT(PRONÓSTICOS!H13,FIND("-",PRONÓSTICOS!H13)-1))=RESULTADOS!E13,VALUE(MID(PRONÓSTICOS!H13,FIND("-",PRONÓSTICOS!H13)+1,10))=RESULTADOS!F13),3,IF(AND(VALUE(LEFT(PRONÓSTICOS!H13,FIND("-",PRONÓSTICOS!H13)-1))-VALUE(MID(PRONÓSTICOS!H13,FIND("-",PRONÓSTICOS!H13)+1,10))=RESULTADOS!E13-RESULTADOS!F13,VALUE(LEFT(PRONÓSTICOS!H13,FIND("-",PRONÓSTICOS!H13)-1))&lt;&gt;RESULTADOS!E13),2,IF(SIGN(VALUE(LEFT(PRONÓSTICOS!H13,FIND("-",PRONÓSTICOS!H13)-1))-VALUE(MID(PRONÓSTICOS!H13,FIND("-",PRONÓSTICOS!H13)+1,10)))=SIGN(RESULTADOS!E13-RESULTADOS!F13),1,0))))</f>
        <v/>
      </c>
      <c r="I12" s="70">
        <f>IF(OR(RESULTADOS!E13="",RESULTADOS!E13=0,RESULTADOS!F13=""),"—",IF(AND(VALUE(LEFT(PRONÓSTICOS!I13,FIND("-",PRONÓSTICOS!I13)-1))=RESULTADOS!E13,VALUE(MID(PRONÓSTICOS!I13,FIND("-",PRONÓSTICOS!I13)+1,10))=RESULTADOS!F13),3,IF(AND(VALUE(LEFT(PRONÓSTICOS!I13,FIND("-",PRONÓSTICOS!I13)-1))-VALUE(MID(PRONÓSTICOS!I13,FIND("-",PRONÓSTICOS!I13)+1,10))=RESULTADOS!E13-RESULTADOS!F13,VALUE(LEFT(PRONÓSTICOS!I13,FIND("-",PRONÓSTICOS!I13)-1))&lt;&gt;RESULTADOS!E13),2,IF(SIGN(VALUE(LEFT(PRONÓSTICOS!I13,FIND("-",PRONÓSTICOS!I13)-1))-VALUE(MID(PRONÓSTICOS!I13,FIND("-",PRONÓSTICOS!I13)+1,10)))=SIGN(RESULTADOS!E13-RESULTADOS!F13),1,0))))</f>
        <v/>
      </c>
      <c r="J12" s="70">
        <f>IF(OR(RESULTADOS!E13="",RESULTADOS!E13=0,RESULTADOS!F13=""),"—",IF(AND(VALUE(LEFT(PRONÓSTICOS!J13,FIND("-",PRONÓSTICOS!J13)-1))=RESULTADOS!E13,VALUE(MID(PRONÓSTICOS!J13,FIND("-",PRONÓSTICOS!J13)+1,10))=RESULTADOS!F13),3,IF(AND(VALUE(LEFT(PRONÓSTICOS!J13,FIND("-",PRONÓSTICOS!J13)-1))-VALUE(MID(PRONÓSTICOS!J13,FIND("-",PRONÓSTICOS!J13)+1,10))=RESULTADOS!E13-RESULTADOS!F13,VALUE(LEFT(PRONÓSTICOS!J13,FIND("-",PRONÓSTICOS!J13)-1))&lt;&gt;RESULTADOS!E13),2,IF(SIGN(VALUE(LEFT(PRONÓSTICOS!J13,FIND("-",PRONÓSTICOS!J13)-1))-VALUE(MID(PRONÓSTICOS!J13,FIND("-",PRONÓSTICOS!J13)+1,10)))=SIGN(RESULTADOS!E13-RESULTADOS!F13),1,0))))</f>
        <v/>
      </c>
      <c r="K12" s="70">
        <f>IF(OR(RESULTADOS!E13="",RESULTADOS!E13=0,RESULTADOS!F13=""),"—",IF(AND(VALUE(LEFT(PRONÓSTICOS!K13,FIND("-",PRONÓSTICOS!K13)-1))=RESULTADOS!E13,VALUE(MID(PRONÓSTICOS!K13,FIND("-",PRONÓSTICOS!K13)+1,10))=RESULTADOS!F13),3,IF(AND(VALUE(LEFT(PRONÓSTICOS!K13,FIND("-",PRONÓSTICOS!K13)-1))-VALUE(MID(PRONÓSTICOS!K13,FIND("-",PRONÓSTICOS!K13)+1,10))=RESULTADOS!E13-RESULTADOS!F13,VALUE(LEFT(PRONÓSTICOS!K13,FIND("-",PRONÓSTICOS!K13)-1))&lt;&gt;RESULTADOS!E13),2,IF(SIGN(VALUE(LEFT(PRONÓSTICOS!K13,FIND("-",PRONÓSTICOS!K13)-1))-VALUE(MID(PRONÓSTICOS!K13,FIND("-",PRONÓSTICOS!K13)+1,10)))=SIGN(RESULTADOS!E13-RESULTADOS!F13),1,0))))</f>
        <v/>
      </c>
      <c r="L12" s="70">
        <f>IF(OR(RESULTADOS!E13="",RESULTADOS!E13=0,RESULTADOS!F13=""),"—",IF(AND(VALUE(LEFT(PRONÓSTICOS!L13,FIND("-",PRONÓSTICOS!L13)-1))=RESULTADOS!E13,VALUE(MID(PRONÓSTICOS!L13,FIND("-",PRONÓSTICOS!L13)+1,10))=RESULTADOS!F13),3,IF(AND(VALUE(LEFT(PRONÓSTICOS!L13,FIND("-",PRONÓSTICOS!L13)-1))-VALUE(MID(PRONÓSTICOS!L13,FIND("-",PRONÓSTICOS!L13)+1,10))=RESULTADOS!E13-RESULTADOS!F13,VALUE(LEFT(PRONÓSTICOS!L13,FIND("-",PRONÓSTICOS!L13)-1))&lt;&gt;RESULTADOS!E13),2,IF(SIGN(VALUE(LEFT(PRONÓSTICOS!L13,FIND("-",PRONÓSTICOS!L13)-1))-VALUE(MID(PRONÓSTICOS!L13,FIND("-",PRONÓSTICOS!L13)+1,10)))=SIGN(RESULTADOS!E13-RESULTADOS!F13),1,0))))</f>
        <v/>
      </c>
    </row>
    <row r="13">
      <c r="A13" s="12" t="n">
        <v>11</v>
      </c>
      <c r="B13" s="12" t="inlineStr">
        <is>
          <t>Panamá vs Brasil</t>
        </is>
      </c>
      <c r="C13" s="12">
        <f>IF(OR(RESULTADOS!E14="",RESULTADOS!E14=0,RESULTADOS!F14=""),"—",IF(AND(VALUE(LEFT(PRONÓSTICOS!C14,FIND("-",PRONÓSTICOS!C14)-1))=RESULTADOS!E14,VALUE(MID(PRONÓSTICOS!C14,FIND("-",PRONÓSTICOS!C14)+1,10))=RESULTADOS!F14),3,IF(AND(VALUE(LEFT(PRONÓSTICOS!C14,FIND("-",PRONÓSTICOS!C14)-1))-VALUE(MID(PRONÓSTICOS!C14,FIND("-",PRONÓSTICOS!C14)+1,10))=RESULTADOS!E14-RESULTADOS!F14,VALUE(LEFT(PRONÓSTICOS!C14,FIND("-",PRONÓSTICOS!C14)-1))&lt;&gt;RESULTADOS!E14),2,IF(SIGN(VALUE(LEFT(PRONÓSTICOS!C14,FIND("-",PRONÓSTICOS!C14)-1))-VALUE(MID(PRONÓSTICOS!C14,FIND("-",PRONÓSTICOS!C14)+1,10)))=SIGN(RESULTADOS!E14-RESULTADOS!F14),1,0))))</f>
        <v/>
      </c>
      <c r="D13" s="12">
        <f>IF(OR(RESULTADOS!E14="",RESULTADOS!E14=0,RESULTADOS!F14=""),"—",IF(AND(VALUE(LEFT(PRONÓSTICOS!D14,FIND("-",PRONÓSTICOS!D14)-1))=RESULTADOS!E14,VALUE(MID(PRONÓSTICOS!D14,FIND("-",PRONÓSTICOS!D14)+1,10))=RESULTADOS!F14),3,IF(AND(VALUE(LEFT(PRONÓSTICOS!D14,FIND("-",PRONÓSTICOS!D14)-1))-VALUE(MID(PRONÓSTICOS!D14,FIND("-",PRONÓSTICOS!D14)+1,10))=RESULTADOS!E14-RESULTADOS!F14,VALUE(LEFT(PRONÓSTICOS!D14,FIND("-",PRONÓSTICOS!D14)-1))&lt;&gt;RESULTADOS!E14),2,IF(SIGN(VALUE(LEFT(PRONÓSTICOS!D14,FIND("-",PRONÓSTICOS!D14)-1))-VALUE(MID(PRONÓSTICOS!D14,FIND("-",PRONÓSTICOS!D14)+1,10)))=SIGN(RESULTADOS!E14-RESULTADOS!F14),1,0))))</f>
        <v/>
      </c>
      <c r="E13" s="12">
        <f>IF(OR(RESULTADOS!E14="",RESULTADOS!E14=0,RESULTADOS!F14=""),"—",IF(AND(VALUE(LEFT(PRONÓSTICOS!E14,FIND("-",PRONÓSTICOS!E14)-1))=RESULTADOS!E14,VALUE(MID(PRONÓSTICOS!E14,FIND("-",PRONÓSTICOS!E14)+1,10))=RESULTADOS!F14),3,IF(AND(VALUE(LEFT(PRONÓSTICOS!E14,FIND("-",PRONÓSTICOS!E14)-1))-VALUE(MID(PRONÓSTICOS!E14,FIND("-",PRONÓSTICOS!E14)+1,10))=RESULTADOS!E14-RESULTADOS!F14,VALUE(LEFT(PRONÓSTICOS!E14,FIND("-",PRONÓSTICOS!E14)-1))&lt;&gt;RESULTADOS!E14),2,IF(SIGN(VALUE(LEFT(PRONÓSTICOS!E14,FIND("-",PRONÓSTICOS!E14)-1))-VALUE(MID(PRONÓSTICOS!E14,FIND("-",PRONÓSTICOS!E14)+1,10)))=SIGN(RESULTADOS!E14-RESULTADOS!F14),1,0))))</f>
        <v/>
      </c>
      <c r="F13" s="12">
        <f>IF(OR(RESULTADOS!E14="",RESULTADOS!E14=0,RESULTADOS!F14=""),"—",IF(AND(VALUE(LEFT(PRONÓSTICOS!F14,FIND("-",PRONÓSTICOS!F14)-1))=RESULTADOS!E14,VALUE(MID(PRONÓSTICOS!F14,FIND("-",PRONÓSTICOS!F14)+1,10))=RESULTADOS!F14),3,IF(AND(VALUE(LEFT(PRONÓSTICOS!F14,FIND("-",PRONÓSTICOS!F14)-1))-VALUE(MID(PRONÓSTICOS!F14,FIND("-",PRONÓSTICOS!F14)+1,10))=RESULTADOS!E14-RESULTADOS!F14,VALUE(LEFT(PRONÓSTICOS!F14,FIND("-",PRONÓSTICOS!F14)-1))&lt;&gt;RESULTADOS!E14),2,IF(SIGN(VALUE(LEFT(PRONÓSTICOS!F14,FIND("-",PRONÓSTICOS!F14)-1))-VALUE(MID(PRONÓSTICOS!F14,FIND("-",PRONÓSTICOS!F14)+1,10)))=SIGN(RESULTADOS!E14-RESULTADOS!F14),1,0))))</f>
        <v/>
      </c>
      <c r="G13" s="12">
        <f>IF(OR(RESULTADOS!E14="",RESULTADOS!E14=0,RESULTADOS!F14=""),"—",IF(AND(VALUE(LEFT(PRONÓSTICOS!G14,FIND("-",PRONÓSTICOS!G14)-1))=RESULTADOS!E14,VALUE(MID(PRONÓSTICOS!G14,FIND("-",PRONÓSTICOS!G14)+1,10))=RESULTADOS!F14),3,IF(AND(VALUE(LEFT(PRONÓSTICOS!G14,FIND("-",PRONÓSTICOS!G14)-1))-VALUE(MID(PRONÓSTICOS!G14,FIND("-",PRONÓSTICOS!G14)+1,10))=RESULTADOS!E14-RESULTADOS!F14,VALUE(LEFT(PRONÓSTICOS!G14,FIND("-",PRONÓSTICOS!G14)-1))&lt;&gt;RESULTADOS!E14),2,IF(SIGN(VALUE(LEFT(PRONÓSTICOS!G14,FIND("-",PRONÓSTICOS!G14)-1))-VALUE(MID(PRONÓSTICOS!G14,FIND("-",PRONÓSTICOS!G14)+1,10)))=SIGN(RESULTADOS!E14-RESULTADOS!F14),1,0))))</f>
        <v/>
      </c>
      <c r="H13" s="12">
        <f>IF(OR(RESULTADOS!E14="",RESULTADOS!E14=0,RESULTADOS!F14=""),"—",IF(AND(VALUE(LEFT(PRONÓSTICOS!H14,FIND("-",PRONÓSTICOS!H14)-1))=RESULTADOS!E14,VALUE(MID(PRONÓSTICOS!H14,FIND("-",PRONÓSTICOS!H14)+1,10))=RESULTADOS!F14),3,IF(AND(VALUE(LEFT(PRONÓSTICOS!H14,FIND("-",PRONÓSTICOS!H14)-1))-VALUE(MID(PRONÓSTICOS!H14,FIND("-",PRONÓSTICOS!H14)+1,10))=RESULTADOS!E14-RESULTADOS!F14,VALUE(LEFT(PRONÓSTICOS!H14,FIND("-",PRONÓSTICOS!H14)-1))&lt;&gt;RESULTADOS!E14),2,IF(SIGN(VALUE(LEFT(PRONÓSTICOS!H14,FIND("-",PRONÓSTICOS!H14)-1))-VALUE(MID(PRONÓSTICOS!H14,FIND("-",PRONÓSTICOS!H14)+1,10)))=SIGN(RESULTADOS!E14-RESULTADOS!F14),1,0))))</f>
        <v/>
      </c>
      <c r="I13" s="12">
        <f>IF(OR(RESULTADOS!E14="",RESULTADOS!E14=0,RESULTADOS!F14=""),"—",IF(AND(VALUE(LEFT(PRONÓSTICOS!I14,FIND("-",PRONÓSTICOS!I14)-1))=RESULTADOS!E14,VALUE(MID(PRONÓSTICOS!I14,FIND("-",PRONÓSTICOS!I14)+1,10))=RESULTADOS!F14),3,IF(AND(VALUE(LEFT(PRONÓSTICOS!I14,FIND("-",PRONÓSTICOS!I14)-1))-VALUE(MID(PRONÓSTICOS!I14,FIND("-",PRONÓSTICOS!I14)+1,10))=RESULTADOS!E14-RESULTADOS!F14,VALUE(LEFT(PRONÓSTICOS!I14,FIND("-",PRONÓSTICOS!I14)-1))&lt;&gt;RESULTADOS!E14),2,IF(SIGN(VALUE(LEFT(PRONÓSTICOS!I14,FIND("-",PRONÓSTICOS!I14)-1))-VALUE(MID(PRONÓSTICOS!I14,FIND("-",PRONÓSTICOS!I14)+1,10)))=SIGN(RESULTADOS!E14-RESULTADOS!F14),1,0))))</f>
        <v/>
      </c>
      <c r="J13" s="12">
        <f>IF(OR(RESULTADOS!E14="",RESULTADOS!E14=0,RESULTADOS!F14=""),"—",IF(AND(VALUE(LEFT(PRONÓSTICOS!J14,FIND("-",PRONÓSTICOS!J14)-1))=RESULTADOS!E14,VALUE(MID(PRONÓSTICOS!J14,FIND("-",PRONÓSTICOS!J14)+1,10))=RESULTADOS!F14),3,IF(AND(VALUE(LEFT(PRONÓSTICOS!J14,FIND("-",PRONÓSTICOS!J14)-1))-VALUE(MID(PRONÓSTICOS!J14,FIND("-",PRONÓSTICOS!J14)+1,10))=RESULTADOS!E14-RESULTADOS!F14,VALUE(LEFT(PRONÓSTICOS!J14,FIND("-",PRONÓSTICOS!J14)-1))&lt;&gt;RESULTADOS!E14),2,IF(SIGN(VALUE(LEFT(PRONÓSTICOS!J14,FIND("-",PRONÓSTICOS!J14)-1))-VALUE(MID(PRONÓSTICOS!J14,FIND("-",PRONÓSTICOS!J14)+1,10)))=SIGN(RESULTADOS!E14-RESULTADOS!F14),1,0))))</f>
        <v/>
      </c>
      <c r="K13" s="12">
        <f>IF(OR(RESULTADOS!E14="",RESULTADOS!E14=0,RESULTADOS!F14=""),"—",IF(AND(VALUE(LEFT(PRONÓSTICOS!K14,FIND("-",PRONÓSTICOS!K14)-1))=RESULTADOS!E14,VALUE(MID(PRONÓSTICOS!K14,FIND("-",PRONÓSTICOS!K14)+1,10))=RESULTADOS!F14),3,IF(AND(VALUE(LEFT(PRONÓSTICOS!K14,FIND("-",PRONÓSTICOS!K14)-1))-VALUE(MID(PRONÓSTICOS!K14,FIND("-",PRONÓSTICOS!K14)+1,10))=RESULTADOS!E14-RESULTADOS!F14,VALUE(LEFT(PRONÓSTICOS!K14,FIND("-",PRONÓSTICOS!K14)-1))&lt;&gt;RESULTADOS!E14),2,IF(SIGN(VALUE(LEFT(PRONÓSTICOS!K14,FIND("-",PRONÓSTICOS!K14)-1))-VALUE(MID(PRONÓSTICOS!K14,FIND("-",PRONÓSTICOS!K14)+1,10)))=SIGN(RESULTADOS!E14-RESULTADOS!F14),1,0))))</f>
        <v/>
      </c>
      <c r="L13" s="12">
        <f>IF(OR(RESULTADOS!E14="",RESULTADOS!E14=0,RESULTADOS!F14=""),"—",IF(AND(VALUE(LEFT(PRONÓSTICOS!L14,FIND("-",PRONÓSTICOS!L14)-1))=RESULTADOS!E14,VALUE(MID(PRONÓSTICOS!L14,FIND("-",PRONÓSTICOS!L14)+1,10))=RESULTADOS!F14),3,IF(AND(VALUE(LEFT(PRONÓSTICOS!L14,FIND("-",PRONÓSTICOS!L14)-1))-VALUE(MID(PRONÓSTICOS!L14,FIND("-",PRONÓSTICOS!L14)+1,10))=RESULTADOS!E14-RESULTADOS!F14,VALUE(LEFT(PRONÓSTICOS!L14,FIND("-",PRONÓSTICOS!L14)-1))&lt;&gt;RESULTADOS!E14),2,IF(SIGN(VALUE(LEFT(PRONÓSTICOS!L14,FIND("-",PRONÓSTICOS!L14)-1))-VALUE(MID(PRONÓSTICOS!L14,FIND("-",PRONÓSTICOS!L14)+1,10)))=SIGN(RESULTADOS!E14-RESULTADOS!F14),1,0))))</f>
        <v/>
      </c>
    </row>
    <row r="14">
      <c r="A14" s="70" t="n">
        <v>12</v>
      </c>
      <c r="B14" s="70" t="inlineStr">
        <is>
          <t>Colombia vs Panamá</t>
        </is>
      </c>
      <c r="C14" s="70">
        <f>IF(OR(RESULTADOS!E15="",RESULTADOS!E15=0,RESULTADOS!F15=""),"—",IF(AND(VALUE(LEFT(PRONÓSTICOS!C15,FIND("-",PRONÓSTICOS!C15)-1))=RESULTADOS!E15,VALUE(MID(PRONÓSTICOS!C15,FIND("-",PRONÓSTICOS!C15)+1,10))=RESULTADOS!F15),3,IF(AND(VALUE(LEFT(PRONÓSTICOS!C15,FIND("-",PRONÓSTICOS!C15)-1))-VALUE(MID(PRONÓSTICOS!C15,FIND("-",PRONÓSTICOS!C15)+1,10))=RESULTADOS!E15-RESULTADOS!F15,VALUE(LEFT(PRONÓSTICOS!C15,FIND("-",PRONÓSTICOS!C15)-1))&lt;&gt;RESULTADOS!E15),2,IF(SIGN(VALUE(LEFT(PRONÓSTICOS!C15,FIND("-",PRONÓSTICOS!C15)-1))-VALUE(MID(PRONÓSTICOS!C15,FIND("-",PRONÓSTICOS!C15)+1,10)))=SIGN(RESULTADOS!E15-RESULTADOS!F15),1,0))))</f>
        <v/>
      </c>
      <c r="D14" s="70">
        <f>IF(OR(RESULTADOS!E15="",RESULTADOS!E15=0,RESULTADOS!F15=""),"—",IF(AND(VALUE(LEFT(PRONÓSTICOS!D15,FIND("-",PRONÓSTICOS!D15)-1))=RESULTADOS!E15,VALUE(MID(PRONÓSTICOS!D15,FIND("-",PRONÓSTICOS!D15)+1,10))=RESULTADOS!F15),3,IF(AND(VALUE(LEFT(PRONÓSTICOS!D15,FIND("-",PRONÓSTICOS!D15)-1))-VALUE(MID(PRONÓSTICOS!D15,FIND("-",PRONÓSTICOS!D15)+1,10))=RESULTADOS!E15-RESULTADOS!F15,VALUE(LEFT(PRONÓSTICOS!D15,FIND("-",PRONÓSTICOS!D15)-1))&lt;&gt;RESULTADOS!E15),2,IF(SIGN(VALUE(LEFT(PRONÓSTICOS!D15,FIND("-",PRONÓSTICOS!D15)-1))-VALUE(MID(PRONÓSTICOS!D15,FIND("-",PRONÓSTICOS!D15)+1,10)))=SIGN(RESULTADOS!E15-RESULTADOS!F15),1,0))))</f>
        <v/>
      </c>
      <c r="E14" s="70">
        <f>IF(OR(RESULTADOS!E15="",RESULTADOS!E15=0,RESULTADOS!F15=""),"—",IF(AND(VALUE(LEFT(PRONÓSTICOS!E15,FIND("-",PRONÓSTICOS!E15)-1))=RESULTADOS!E15,VALUE(MID(PRONÓSTICOS!E15,FIND("-",PRONÓSTICOS!E15)+1,10))=RESULTADOS!F15),3,IF(AND(VALUE(LEFT(PRONÓSTICOS!E15,FIND("-",PRONÓSTICOS!E15)-1))-VALUE(MID(PRONÓSTICOS!E15,FIND("-",PRONÓSTICOS!E15)+1,10))=RESULTADOS!E15-RESULTADOS!F15,VALUE(LEFT(PRONÓSTICOS!E15,FIND("-",PRONÓSTICOS!E15)-1))&lt;&gt;RESULTADOS!E15),2,IF(SIGN(VALUE(LEFT(PRONÓSTICOS!E15,FIND("-",PRONÓSTICOS!E15)-1))-VALUE(MID(PRONÓSTICOS!E15,FIND("-",PRONÓSTICOS!E15)+1,10)))=SIGN(RESULTADOS!E15-RESULTADOS!F15),1,0))))</f>
        <v/>
      </c>
      <c r="F14" s="70">
        <f>IF(OR(RESULTADOS!E15="",RESULTADOS!E15=0,RESULTADOS!F15=""),"—",IF(AND(VALUE(LEFT(PRONÓSTICOS!F15,FIND("-",PRONÓSTICOS!F15)-1))=RESULTADOS!E15,VALUE(MID(PRONÓSTICOS!F15,FIND("-",PRONÓSTICOS!F15)+1,10))=RESULTADOS!F15),3,IF(AND(VALUE(LEFT(PRONÓSTICOS!F15,FIND("-",PRONÓSTICOS!F15)-1))-VALUE(MID(PRONÓSTICOS!F15,FIND("-",PRONÓSTICOS!F15)+1,10))=RESULTADOS!E15-RESULTADOS!F15,VALUE(LEFT(PRONÓSTICOS!F15,FIND("-",PRONÓSTICOS!F15)-1))&lt;&gt;RESULTADOS!E15),2,IF(SIGN(VALUE(LEFT(PRONÓSTICOS!F15,FIND("-",PRONÓSTICOS!F15)-1))-VALUE(MID(PRONÓSTICOS!F15,FIND("-",PRONÓSTICOS!F15)+1,10)))=SIGN(RESULTADOS!E15-RESULTADOS!F15),1,0))))</f>
        <v/>
      </c>
      <c r="G14" s="70">
        <f>IF(OR(RESULTADOS!E15="",RESULTADOS!E15=0,RESULTADOS!F15=""),"—",IF(AND(VALUE(LEFT(PRONÓSTICOS!G15,FIND("-",PRONÓSTICOS!G15)-1))=RESULTADOS!E15,VALUE(MID(PRONÓSTICOS!G15,FIND("-",PRONÓSTICOS!G15)+1,10))=RESULTADOS!F15),3,IF(AND(VALUE(LEFT(PRONÓSTICOS!G15,FIND("-",PRONÓSTICOS!G15)-1))-VALUE(MID(PRONÓSTICOS!G15,FIND("-",PRONÓSTICOS!G15)+1,10))=RESULTADOS!E15-RESULTADOS!F15,VALUE(LEFT(PRONÓSTICOS!G15,FIND("-",PRONÓSTICOS!G15)-1))&lt;&gt;RESULTADOS!E15),2,IF(SIGN(VALUE(LEFT(PRONÓSTICOS!G15,FIND("-",PRONÓSTICOS!G15)-1))-VALUE(MID(PRONÓSTICOS!G15,FIND("-",PRONÓSTICOS!G15)+1,10)))=SIGN(RESULTADOS!E15-RESULTADOS!F15),1,0))))</f>
        <v/>
      </c>
      <c r="H14" s="70">
        <f>IF(OR(RESULTADOS!E15="",RESULTADOS!E15=0,RESULTADOS!F15=""),"—",IF(AND(VALUE(LEFT(PRONÓSTICOS!H15,FIND("-",PRONÓSTICOS!H15)-1))=RESULTADOS!E15,VALUE(MID(PRONÓSTICOS!H15,FIND("-",PRONÓSTICOS!H15)+1,10))=RESULTADOS!F15),3,IF(AND(VALUE(LEFT(PRONÓSTICOS!H15,FIND("-",PRONÓSTICOS!H15)-1))-VALUE(MID(PRONÓSTICOS!H15,FIND("-",PRONÓSTICOS!H15)+1,10))=RESULTADOS!E15-RESULTADOS!F15,VALUE(LEFT(PRONÓSTICOS!H15,FIND("-",PRONÓSTICOS!H15)-1))&lt;&gt;RESULTADOS!E15),2,IF(SIGN(VALUE(LEFT(PRONÓSTICOS!H15,FIND("-",PRONÓSTICOS!H15)-1))-VALUE(MID(PRONÓSTICOS!H15,FIND("-",PRONÓSTICOS!H15)+1,10)))=SIGN(RESULTADOS!E15-RESULTADOS!F15),1,0))))</f>
        <v/>
      </c>
      <c r="I14" s="70">
        <f>IF(OR(RESULTADOS!E15="",RESULTADOS!E15=0,RESULTADOS!F15=""),"—",IF(AND(VALUE(LEFT(PRONÓSTICOS!I15,FIND("-",PRONÓSTICOS!I15)-1))=RESULTADOS!E15,VALUE(MID(PRONÓSTICOS!I15,FIND("-",PRONÓSTICOS!I15)+1,10))=RESULTADOS!F15),3,IF(AND(VALUE(LEFT(PRONÓSTICOS!I15,FIND("-",PRONÓSTICOS!I15)-1))-VALUE(MID(PRONÓSTICOS!I15,FIND("-",PRONÓSTICOS!I15)+1,10))=RESULTADOS!E15-RESULTADOS!F15,VALUE(LEFT(PRONÓSTICOS!I15,FIND("-",PRONÓSTICOS!I15)-1))&lt;&gt;RESULTADOS!E15),2,IF(SIGN(VALUE(LEFT(PRONÓSTICOS!I15,FIND("-",PRONÓSTICOS!I15)-1))-VALUE(MID(PRONÓSTICOS!I15,FIND("-",PRONÓSTICOS!I15)+1,10)))=SIGN(RESULTADOS!E15-RESULTADOS!F15),1,0))))</f>
        <v/>
      </c>
      <c r="J14" s="70">
        <f>IF(OR(RESULTADOS!E15="",RESULTADOS!E15=0,RESULTADOS!F15=""),"—",IF(AND(VALUE(LEFT(PRONÓSTICOS!J15,FIND("-",PRONÓSTICOS!J15)-1))=RESULTADOS!E15,VALUE(MID(PRONÓSTICOS!J15,FIND("-",PRONÓSTICOS!J15)+1,10))=RESULTADOS!F15),3,IF(AND(VALUE(LEFT(PRONÓSTICOS!J15,FIND("-",PRONÓSTICOS!J15)-1))-VALUE(MID(PRONÓSTICOS!J15,FIND("-",PRONÓSTICOS!J15)+1,10))=RESULTADOS!E15-RESULTADOS!F15,VALUE(LEFT(PRONÓSTICOS!J15,FIND("-",PRONÓSTICOS!J15)-1))&lt;&gt;RESULTADOS!E15),2,IF(SIGN(VALUE(LEFT(PRONÓSTICOS!J15,FIND("-",PRONÓSTICOS!J15)-1))-VALUE(MID(PRONÓSTICOS!J15,FIND("-",PRONÓSTICOS!J15)+1,10)))=SIGN(RESULTADOS!E15-RESULTADOS!F15),1,0))))</f>
        <v/>
      </c>
      <c r="K14" s="70">
        <f>IF(OR(RESULTADOS!E15="",RESULTADOS!E15=0,RESULTADOS!F15=""),"—",IF(AND(VALUE(LEFT(PRONÓSTICOS!K15,FIND("-",PRONÓSTICOS!K15)-1))=RESULTADOS!E15,VALUE(MID(PRONÓSTICOS!K15,FIND("-",PRONÓSTICOS!K15)+1,10))=RESULTADOS!F15),3,IF(AND(VALUE(LEFT(PRONÓSTICOS!K15,FIND("-",PRONÓSTICOS!K15)-1))-VALUE(MID(PRONÓSTICOS!K15,FIND("-",PRONÓSTICOS!K15)+1,10))=RESULTADOS!E15-RESULTADOS!F15,VALUE(LEFT(PRONÓSTICOS!K15,FIND("-",PRONÓSTICOS!K15)-1))&lt;&gt;RESULTADOS!E15),2,IF(SIGN(VALUE(LEFT(PRONÓSTICOS!K15,FIND("-",PRONÓSTICOS!K15)-1))-VALUE(MID(PRONÓSTICOS!K15,FIND("-",PRONÓSTICOS!K15)+1,10)))=SIGN(RESULTADOS!E15-RESULTADOS!F15),1,0))))</f>
        <v/>
      </c>
      <c r="L14" s="70">
        <f>IF(OR(RESULTADOS!E15="",RESULTADOS!E15=0,RESULTADOS!F15=""),"—",IF(AND(VALUE(LEFT(PRONÓSTICOS!L15,FIND("-",PRONÓSTICOS!L15)-1))=RESULTADOS!E15,VALUE(MID(PRONÓSTICOS!L15,FIND("-",PRONÓSTICOS!L15)+1,10))=RESULTADOS!F15),3,IF(AND(VALUE(LEFT(PRONÓSTICOS!L15,FIND("-",PRONÓSTICOS!L15)-1))-VALUE(MID(PRONÓSTICOS!L15,FIND("-",PRONÓSTICOS!L15)+1,10))=RESULTADOS!E15-RESULTADOS!F15,VALUE(LEFT(PRONÓSTICOS!L15,FIND("-",PRONÓSTICOS!L15)-1))&lt;&gt;RESULTADOS!E15),2,IF(SIGN(VALUE(LEFT(PRONÓSTICOS!L15,FIND("-",PRONÓSTICOS!L15)-1))-VALUE(MID(PRONÓSTICOS!L15,FIND("-",PRONÓSTICOS!L15)+1,10)))=SIGN(RESULTADOS!E15-RESULTADOS!F15),1,0))))</f>
        <v/>
      </c>
    </row>
    <row r="15">
      <c r="A15" s="12" t="n">
        <v>13</v>
      </c>
      <c r="B15" s="12" t="inlineStr">
        <is>
          <t>España vs Marruecos</t>
        </is>
      </c>
      <c r="C15" s="12">
        <f>IF(OR(RESULTADOS!E16="",RESULTADOS!E16=0,RESULTADOS!F16=""),"—",IF(AND(VALUE(LEFT(PRONÓSTICOS!C16,FIND("-",PRONÓSTICOS!C16)-1))=RESULTADOS!E16,VALUE(MID(PRONÓSTICOS!C16,FIND("-",PRONÓSTICOS!C16)+1,10))=RESULTADOS!F16),3,IF(AND(VALUE(LEFT(PRONÓSTICOS!C16,FIND("-",PRONÓSTICOS!C16)-1))-VALUE(MID(PRONÓSTICOS!C16,FIND("-",PRONÓSTICOS!C16)+1,10))=RESULTADOS!E16-RESULTADOS!F16,VALUE(LEFT(PRONÓSTICOS!C16,FIND("-",PRONÓSTICOS!C16)-1))&lt;&gt;RESULTADOS!E16),2,IF(SIGN(VALUE(LEFT(PRONÓSTICOS!C16,FIND("-",PRONÓSTICOS!C16)-1))-VALUE(MID(PRONÓSTICOS!C16,FIND("-",PRONÓSTICOS!C16)+1,10)))=SIGN(RESULTADOS!E16-RESULTADOS!F16),1,0))))</f>
        <v/>
      </c>
      <c r="D15" s="12">
        <f>IF(OR(RESULTADOS!E16="",RESULTADOS!E16=0,RESULTADOS!F16=""),"—",IF(AND(VALUE(LEFT(PRONÓSTICOS!D16,FIND("-",PRONÓSTICOS!D16)-1))=RESULTADOS!E16,VALUE(MID(PRONÓSTICOS!D16,FIND("-",PRONÓSTICOS!D16)+1,10))=RESULTADOS!F16),3,IF(AND(VALUE(LEFT(PRONÓSTICOS!D16,FIND("-",PRONÓSTICOS!D16)-1))-VALUE(MID(PRONÓSTICOS!D16,FIND("-",PRONÓSTICOS!D16)+1,10))=RESULTADOS!E16-RESULTADOS!F16,VALUE(LEFT(PRONÓSTICOS!D16,FIND("-",PRONÓSTICOS!D16)-1))&lt;&gt;RESULTADOS!E16),2,IF(SIGN(VALUE(LEFT(PRONÓSTICOS!D16,FIND("-",PRONÓSTICOS!D16)-1))-VALUE(MID(PRONÓSTICOS!D16,FIND("-",PRONÓSTICOS!D16)+1,10)))=SIGN(RESULTADOS!E16-RESULTADOS!F16),1,0))))</f>
        <v/>
      </c>
      <c r="E15" s="12">
        <f>IF(OR(RESULTADOS!E16="",RESULTADOS!E16=0,RESULTADOS!F16=""),"—",IF(AND(VALUE(LEFT(PRONÓSTICOS!E16,FIND("-",PRONÓSTICOS!E16)-1))=RESULTADOS!E16,VALUE(MID(PRONÓSTICOS!E16,FIND("-",PRONÓSTICOS!E16)+1,10))=RESULTADOS!F16),3,IF(AND(VALUE(LEFT(PRONÓSTICOS!E16,FIND("-",PRONÓSTICOS!E16)-1))-VALUE(MID(PRONÓSTICOS!E16,FIND("-",PRONÓSTICOS!E16)+1,10))=RESULTADOS!E16-RESULTADOS!F16,VALUE(LEFT(PRONÓSTICOS!E16,FIND("-",PRONÓSTICOS!E16)-1))&lt;&gt;RESULTADOS!E16),2,IF(SIGN(VALUE(LEFT(PRONÓSTICOS!E16,FIND("-",PRONÓSTICOS!E16)-1))-VALUE(MID(PRONÓSTICOS!E16,FIND("-",PRONÓSTICOS!E16)+1,10)))=SIGN(RESULTADOS!E16-RESULTADOS!F16),1,0))))</f>
        <v/>
      </c>
      <c r="F15" s="12">
        <f>IF(OR(RESULTADOS!E16="",RESULTADOS!E16=0,RESULTADOS!F16=""),"—",IF(AND(VALUE(LEFT(PRONÓSTICOS!F16,FIND("-",PRONÓSTICOS!F16)-1))=RESULTADOS!E16,VALUE(MID(PRONÓSTICOS!F16,FIND("-",PRONÓSTICOS!F16)+1,10))=RESULTADOS!F16),3,IF(AND(VALUE(LEFT(PRONÓSTICOS!F16,FIND("-",PRONÓSTICOS!F16)-1))-VALUE(MID(PRONÓSTICOS!F16,FIND("-",PRONÓSTICOS!F16)+1,10))=RESULTADOS!E16-RESULTADOS!F16,VALUE(LEFT(PRONÓSTICOS!F16,FIND("-",PRONÓSTICOS!F16)-1))&lt;&gt;RESULTADOS!E16),2,IF(SIGN(VALUE(LEFT(PRONÓSTICOS!F16,FIND("-",PRONÓSTICOS!F16)-1))-VALUE(MID(PRONÓSTICOS!F16,FIND("-",PRONÓSTICOS!F16)+1,10)))=SIGN(RESULTADOS!E16-RESULTADOS!F16),1,0))))</f>
        <v/>
      </c>
      <c r="G15" s="12">
        <f>IF(OR(RESULTADOS!E16="",RESULTADOS!E16=0,RESULTADOS!F16=""),"—",IF(AND(VALUE(LEFT(PRONÓSTICOS!G16,FIND("-",PRONÓSTICOS!G16)-1))=RESULTADOS!E16,VALUE(MID(PRONÓSTICOS!G16,FIND("-",PRONÓSTICOS!G16)+1,10))=RESULTADOS!F16),3,IF(AND(VALUE(LEFT(PRONÓSTICOS!G16,FIND("-",PRONÓSTICOS!G16)-1))-VALUE(MID(PRONÓSTICOS!G16,FIND("-",PRONÓSTICOS!G16)+1,10))=RESULTADOS!E16-RESULTADOS!F16,VALUE(LEFT(PRONÓSTICOS!G16,FIND("-",PRONÓSTICOS!G16)-1))&lt;&gt;RESULTADOS!E16),2,IF(SIGN(VALUE(LEFT(PRONÓSTICOS!G16,FIND("-",PRONÓSTICOS!G16)-1))-VALUE(MID(PRONÓSTICOS!G16,FIND("-",PRONÓSTICOS!G16)+1,10)))=SIGN(RESULTADOS!E16-RESULTADOS!F16),1,0))))</f>
        <v/>
      </c>
      <c r="H15" s="12">
        <f>IF(OR(RESULTADOS!E16="",RESULTADOS!E16=0,RESULTADOS!F16=""),"—",IF(AND(VALUE(LEFT(PRONÓSTICOS!H16,FIND("-",PRONÓSTICOS!H16)-1))=RESULTADOS!E16,VALUE(MID(PRONÓSTICOS!H16,FIND("-",PRONÓSTICOS!H16)+1,10))=RESULTADOS!F16),3,IF(AND(VALUE(LEFT(PRONÓSTICOS!H16,FIND("-",PRONÓSTICOS!H16)-1))-VALUE(MID(PRONÓSTICOS!H16,FIND("-",PRONÓSTICOS!H16)+1,10))=RESULTADOS!E16-RESULTADOS!F16,VALUE(LEFT(PRONÓSTICOS!H16,FIND("-",PRONÓSTICOS!H16)-1))&lt;&gt;RESULTADOS!E16),2,IF(SIGN(VALUE(LEFT(PRONÓSTICOS!H16,FIND("-",PRONÓSTICOS!H16)-1))-VALUE(MID(PRONÓSTICOS!H16,FIND("-",PRONÓSTICOS!H16)+1,10)))=SIGN(RESULTADOS!E16-RESULTADOS!F16),1,0))))</f>
        <v/>
      </c>
      <c r="I15" s="12">
        <f>IF(OR(RESULTADOS!E16="",RESULTADOS!E16=0,RESULTADOS!F16=""),"—",IF(AND(VALUE(LEFT(PRONÓSTICOS!I16,FIND("-",PRONÓSTICOS!I16)-1))=RESULTADOS!E16,VALUE(MID(PRONÓSTICOS!I16,FIND("-",PRONÓSTICOS!I16)+1,10))=RESULTADOS!F16),3,IF(AND(VALUE(LEFT(PRONÓSTICOS!I16,FIND("-",PRONÓSTICOS!I16)-1))-VALUE(MID(PRONÓSTICOS!I16,FIND("-",PRONÓSTICOS!I16)+1,10))=RESULTADOS!E16-RESULTADOS!F16,VALUE(LEFT(PRONÓSTICOS!I16,FIND("-",PRONÓSTICOS!I16)-1))&lt;&gt;RESULTADOS!E16),2,IF(SIGN(VALUE(LEFT(PRONÓSTICOS!I16,FIND("-",PRONÓSTICOS!I16)-1))-VALUE(MID(PRONÓSTICOS!I16,FIND("-",PRONÓSTICOS!I16)+1,10)))=SIGN(RESULTADOS!E16-RESULTADOS!F16),1,0))))</f>
        <v/>
      </c>
      <c r="J15" s="12">
        <f>IF(OR(RESULTADOS!E16="",RESULTADOS!E16=0,RESULTADOS!F16=""),"—",IF(AND(VALUE(LEFT(PRONÓSTICOS!J16,FIND("-",PRONÓSTICOS!J16)-1))=RESULTADOS!E16,VALUE(MID(PRONÓSTICOS!J16,FIND("-",PRONÓSTICOS!J16)+1,10))=RESULTADOS!F16),3,IF(AND(VALUE(LEFT(PRONÓSTICOS!J16,FIND("-",PRONÓSTICOS!J16)-1))-VALUE(MID(PRONÓSTICOS!J16,FIND("-",PRONÓSTICOS!J16)+1,10))=RESULTADOS!E16-RESULTADOS!F16,VALUE(LEFT(PRONÓSTICOS!J16,FIND("-",PRONÓSTICOS!J16)-1))&lt;&gt;RESULTADOS!E16),2,IF(SIGN(VALUE(LEFT(PRONÓSTICOS!J16,FIND("-",PRONÓSTICOS!J16)-1))-VALUE(MID(PRONÓSTICOS!J16,FIND("-",PRONÓSTICOS!J16)+1,10)))=SIGN(RESULTADOS!E16-RESULTADOS!F16),1,0))))</f>
        <v/>
      </c>
      <c r="K15" s="12">
        <f>IF(OR(RESULTADOS!E16="",RESULTADOS!E16=0,RESULTADOS!F16=""),"—",IF(AND(VALUE(LEFT(PRONÓSTICOS!K16,FIND("-",PRONÓSTICOS!K16)-1))=RESULTADOS!E16,VALUE(MID(PRONÓSTICOS!K16,FIND("-",PRONÓSTICOS!K16)+1,10))=RESULTADOS!F16),3,IF(AND(VALUE(LEFT(PRONÓSTICOS!K16,FIND("-",PRONÓSTICOS!K16)-1))-VALUE(MID(PRONÓSTICOS!K16,FIND("-",PRONÓSTICOS!K16)+1,10))=RESULTADOS!E16-RESULTADOS!F16,VALUE(LEFT(PRONÓSTICOS!K16,FIND("-",PRONÓSTICOS!K16)-1))&lt;&gt;RESULTADOS!E16),2,IF(SIGN(VALUE(LEFT(PRONÓSTICOS!K16,FIND("-",PRONÓSTICOS!K16)-1))-VALUE(MID(PRONÓSTICOS!K16,FIND("-",PRONÓSTICOS!K16)+1,10)))=SIGN(RESULTADOS!E16-RESULTADOS!F16),1,0))))</f>
        <v/>
      </c>
      <c r="L15" s="12">
        <f>IF(OR(RESULTADOS!E16="",RESULTADOS!E16=0,RESULTADOS!F16=""),"—",IF(AND(VALUE(LEFT(PRONÓSTICOS!L16,FIND("-",PRONÓSTICOS!L16)-1))=RESULTADOS!E16,VALUE(MID(PRONÓSTICOS!L16,FIND("-",PRONÓSTICOS!L16)+1,10))=RESULTADOS!F16),3,IF(AND(VALUE(LEFT(PRONÓSTICOS!L16,FIND("-",PRONÓSTICOS!L16)-1))-VALUE(MID(PRONÓSTICOS!L16,FIND("-",PRONÓSTICOS!L16)+1,10))=RESULTADOS!E16-RESULTADOS!F16,VALUE(LEFT(PRONÓSTICOS!L16,FIND("-",PRONÓSTICOS!L16)-1))&lt;&gt;RESULTADOS!E16),2,IF(SIGN(VALUE(LEFT(PRONÓSTICOS!L16,FIND("-",PRONÓSTICOS!L16)-1))-VALUE(MID(PRONÓSTICOS!L16,FIND("-",PRONÓSTICOS!L16)+1,10)))=SIGN(RESULTADOS!E16-RESULTADOS!F16),1,0))))</f>
        <v/>
      </c>
    </row>
    <row r="16">
      <c r="A16" s="70" t="n">
        <v>14</v>
      </c>
      <c r="B16" s="70" t="inlineStr">
        <is>
          <t>Portugal vs España</t>
        </is>
      </c>
      <c r="C16" s="70">
        <f>IF(OR(RESULTADOS!E17="",RESULTADOS!E17=0,RESULTADOS!F17=""),"—",IF(AND(VALUE(LEFT(PRONÓSTICOS!C17,FIND("-",PRONÓSTICOS!C17)-1))=RESULTADOS!E17,VALUE(MID(PRONÓSTICOS!C17,FIND("-",PRONÓSTICOS!C17)+1,10))=RESULTADOS!F17),3,IF(AND(VALUE(LEFT(PRONÓSTICOS!C17,FIND("-",PRONÓSTICOS!C17)-1))-VALUE(MID(PRONÓSTICOS!C17,FIND("-",PRONÓSTICOS!C17)+1,10))=RESULTADOS!E17-RESULTADOS!F17,VALUE(LEFT(PRONÓSTICOS!C17,FIND("-",PRONÓSTICOS!C17)-1))&lt;&gt;RESULTADOS!E17),2,IF(SIGN(VALUE(LEFT(PRONÓSTICOS!C17,FIND("-",PRONÓSTICOS!C17)-1))-VALUE(MID(PRONÓSTICOS!C17,FIND("-",PRONÓSTICOS!C17)+1,10)))=SIGN(RESULTADOS!E17-RESULTADOS!F17),1,0))))</f>
        <v/>
      </c>
      <c r="D16" s="70">
        <f>IF(OR(RESULTADOS!E17="",RESULTADOS!E17=0,RESULTADOS!F17=""),"—",IF(AND(VALUE(LEFT(PRONÓSTICOS!D17,FIND("-",PRONÓSTICOS!D17)-1))=RESULTADOS!E17,VALUE(MID(PRONÓSTICOS!D17,FIND("-",PRONÓSTICOS!D17)+1,10))=RESULTADOS!F17),3,IF(AND(VALUE(LEFT(PRONÓSTICOS!D17,FIND("-",PRONÓSTICOS!D17)-1))-VALUE(MID(PRONÓSTICOS!D17,FIND("-",PRONÓSTICOS!D17)+1,10))=RESULTADOS!E17-RESULTADOS!F17,VALUE(LEFT(PRONÓSTICOS!D17,FIND("-",PRONÓSTICOS!D17)-1))&lt;&gt;RESULTADOS!E17),2,IF(SIGN(VALUE(LEFT(PRONÓSTICOS!D17,FIND("-",PRONÓSTICOS!D17)-1))-VALUE(MID(PRONÓSTICOS!D17,FIND("-",PRONÓSTICOS!D17)+1,10)))=SIGN(RESULTADOS!E17-RESULTADOS!F17),1,0))))</f>
        <v/>
      </c>
      <c r="E16" s="70">
        <f>IF(OR(RESULTADOS!E17="",RESULTADOS!E17=0,RESULTADOS!F17=""),"—",IF(AND(VALUE(LEFT(PRONÓSTICOS!E17,FIND("-",PRONÓSTICOS!E17)-1))=RESULTADOS!E17,VALUE(MID(PRONÓSTICOS!E17,FIND("-",PRONÓSTICOS!E17)+1,10))=RESULTADOS!F17),3,IF(AND(VALUE(LEFT(PRONÓSTICOS!E17,FIND("-",PRONÓSTICOS!E17)-1))-VALUE(MID(PRONÓSTICOS!E17,FIND("-",PRONÓSTICOS!E17)+1,10))=RESULTADOS!E17-RESULTADOS!F17,VALUE(LEFT(PRONÓSTICOS!E17,FIND("-",PRONÓSTICOS!E17)-1))&lt;&gt;RESULTADOS!E17),2,IF(SIGN(VALUE(LEFT(PRONÓSTICOS!E17,FIND("-",PRONÓSTICOS!E17)-1))-VALUE(MID(PRONÓSTICOS!E17,FIND("-",PRONÓSTICOS!E17)+1,10)))=SIGN(RESULTADOS!E17-RESULTADOS!F17),1,0))))</f>
        <v/>
      </c>
      <c r="F16" s="70">
        <f>IF(OR(RESULTADOS!E17="",RESULTADOS!E17=0,RESULTADOS!F17=""),"—",IF(AND(VALUE(LEFT(PRONÓSTICOS!F17,FIND("-",PRONÓSTICOS!F17)-1))=RESULTADOS!E17,VALUE(MID(PRONÓSTICOS!F17,FIND("-",PRONÓSTICOS!F17)+1,10))=RESULTADOS!F17),3,IF(AND(VALUE(LEFT(PRONÓSTICOS!F17,FIND("-",PRONÓSTICOS!F17)-1))-VALUE(MID(PRONÓSTICOS!F17,FIND("-",PRONÓSTICOS!F17)+1,10))=RESULTADOS!E17-RESULTADOS!F17,VALUE(LEFT(PRONÓSTICOS!F17,FIND("-",PRONÓSTICOS!F17)-1))&lt;&gt;RESULTADOS!E17),2,IF(SIGN(VALUE(LEFT(PRONÓSTICOS!F17,FIND("-",PRONÓSTICOS!F17)-1))-VALUE(MID(PRONÓSTICOS!F17,FIND("-",PRONÓSTICOS!F17)+1,10)))=SIGN(RESULTADOS!E17-RESULTADOS!F17),1,0))))</f>
        <v/>
      </c>
      <c r="G16" s="70">
        <f>IF(OR(RESULTADOS!E17="",RESULTADOS!E17=0,RESULTADOS!F17=""),"—",IF(AND(VALUE(LEFT(PRONÓSTICOS!G17,FIND("-",PRONÓSTICOS!G17)-1))=RESULTADOS!E17,VALUE(MID(PRONÓSTICOS!G17,FIND("-",PRONÓSTICOS!G17)+1,10))=RESULTADOS!F17),3,IF(AND(VALUE(LEFT(PRONÓSTICOS!G17,FIND("-",PRONÓSTICOS!G17)-1))-VALUE(MID(PRONÓSTICOS!G17,FIND("-",PRONÓSTICOS!G17)+1,10))=RESULTADOS!E17-RESULTADOS!F17,VALUE(LEFT(PRONÓSTICOS!G17,FIND("-",PRONÓSTICOS!G17)-1))&lt;&gt;RESULTADOS!E17),2,IF(SIGN(VALUE(LEFT(PRONÓSTICOS!G17,FIND("-",PRONÓSTICOS!G17)-1))-VALUE(MID(PRONÓSTICOS!G17,FIND("-",PRONÓSTICOS!G17)+1,10)))=SIGN(RESULTADOS!E17-RESULTADOS!F17),1,0))))</f>
        <v/>
      </c>
      <c r="H16" s="70">
        <f>IF(OR(RESULTADOS!E17="",RESULTADOS!E17=0,RESULTADOS!F17=""),"—",IF(AND(VALUE(LEFT(PRONÓSTICOS!H17,FIND("-",PRONÓSTICOS!H17)-1))=RESULTADOS!E17,VALUE(MID(PRONÓSTICOS!H17,FIND("-",PRONÓSTICOS!H17)+1,10))=RESULTADOS!F17),3,IF(AND(VALUE(LEFT(PRONÓSTICOS!H17,FIND("-",PRONÓSTICOS!H17)-1))-VALUE(MID(PRONÓSTICOS!H17,FIND("-",PRONÓSTICOS!H17)+1,10))=RESULTADOS!E17-RESULTADOS!F17,VALUE(LEFT(PRONÓSTICOS!H17,FIND("-",PRONÓSTICOS!H17)-1))&lt;&gt;RESULTADOS!E17),2,IF(SIGN(VALUE(LEFT(PRONÓSTICOS!H17,FIND("-",PRONÓSTICOS!H17)-1))-VALUE(MID(PRONÓSTICOS!H17,FIND("-",PRONÓSTICOS!H17)+1,10)))=SIGN(RESULTADOS!E17-RESULTADOS!F17),1,0))))</f>
        <v/>
      </c>
      <c r="I16" s="70">
        <f>IF(OR(RESULTADOS!E17="",RESULTADOS!E17=0,RESULTADOS!F17=""),"—",IF(AND(VALUE(LEFT(PRONÓSTICOS!I17,FIND("-",PRONÓSTICOS!I17)-1))=RESULTADOS!E17,VALUE(MID(PRONÓSTICOS!I17,FIND("-",PRONÓSTICOS!I17)+1,10))=RESULTADOS!F17),3,IF(AND(VALUE(LEFT(PRONÓSTICOS!I17,FIND("-",PRONÓSTICOS!I17)-1))-VALUE(MID(PRONÓSTICOS!I17,FIND("-",PRONÓSTICOS!I17)+1,10))=RESULTADOS!E17-RESULTADOS!F17,VALUE(LEFT(PRONÓSTICOS!I17,FIND("-",PRONÓSTICOS!I17)-1))&lt;&gt;RESULTADOS!E17),2,IF(SIGN(VALUE(LEFT(PRONÓSTICOS!I17,FIND("-",PRONÓSTICOS!I17)-1))-VALUE(MID(PRONÓSTICOS!I17,FIND("-",PRONÓSTICOS!I17)+1,10)))=SIGN(RESULTADOS!E17-RESULTADOS!F17),1,0))))</f>
        <v/>
      </c>
      <c r="J16" s="70">
        <f>IF(OR(RESULTADOS!E17="",RESULTADOS!E17=0,RESULTADOS!F17=""),"—",IF(AND(VALUE(LEFT(PRONÓSTICOS!J17,FIND("-",PRONÓSTICOS!J17)-1))=RESULTADOS!E17,VALUE(MID(PRONÓSTICOS!J17,FIND("-",PRONÓSTICOS!J17)+1,10))=RESULTADOS!F17),3,IF(AND(VALUE(LEFT(PRONÓSTICOS!J17,FIND("-",PRONÓSTICOS!J17)-1))-VALUE(MID(PRONÓSTICOS!J17,FIND("-",PRONÓSTICOS!J17)+1,10))=RESULTADOS!E17-RESULTADOS!F17,VALUE(LEFT(PRONÓSTICOS!J17,FIND("-",PRONÓSTICOS!J17)-1))&lt;&gt;RESULTADOS!E17),2,IF(SIGN(VALUE(LEFT(PRONÓSTICOS!J17,FIND("-",PRONÓSTICOS!J17)-1))-VALUE(MID(PRONÓSTICOS!J17,FIND("-",PRONÓSTICOS!J17)+1,10)))=SIGN(RESULTADOS!E17-RESULTADOS!F17),1,0))))</f>
        <v/>
      </c>
      <c r="K16" s="70">
        <f>IF(OR(RESULTADOS!E17="",RESULTADOS!E17=0,RESULTADOS!F17=""),"—",IF(AND(VALUE(LEFT(PRONÓSTICOS!K17,FIND("-",PRONÓSTICOS!K17)-1))=RESULTADOS!E17,VALUE(MID(PRONÓSTICOS!K17,FIND("-",PRONÓSTICOS!K17)+1,10))=RESULTADOS!F17),3,IF(AND(VALUE(LEFT(PRONÓSTICOS!K17,FIND("-",PRONÓSTICOS!K17)-1))-VALUE(MID(PRONÓSTICOS!K17,FIND("-",PRONÓSTICOS!K17)+1,10))=RESULTADOS!E17-RESULTADOS!F17,VALUE(LEFT(PRONÓSTICOS!K17,FIND("-",PRONÓSTICOS!K17)-1))&lt;&gt;RESULTADOS!E17),2,IF(SIGN(VALUE(LEFT(PRONÓSTICOS!K17,FIND("-",PRONÓSTICOS!K17)-1))-VALUE(MID(PRONÓSTICOS!K17,FIND("-",PRONÓSTICOS!K17)+1,10)))=SIGN(RESULTADOS!E17-RESULTADOS!F17),1,0))))</f>
        <v/>
      </c>
      <c r="L16" s="70">
        <f>IF(OR(RESULTADOS!E17="",RESULTADOS!E17=0,RESULTADOS!F17=""),"—",IF(AND(VALUE(LEFT(PRONÓSTICOS!L17,FIND("-",PRONÓSTICOS!L17)-1))=RESULTADOS!E17,VALUE(MID(PRONÓSTICOS!L17,FIND("-",PRONÓSTICOS!L17)+1,10))=RESULTADOS!F17),3,IF(AND(VALUE(LEFT(PRONÓSTICOS!L17,FIND("-",PRONÓSTICOS!L17)-1))-VALUE(MID(PRONÓSTICOS!L17,FIND("-",PRONÓSTICOS!L17)+1,10))=RESULTADOS!E17-RESULTADOS!F17,VALUE(LEFT(PRONÓSTICOS!L17,FIND("-",PRONÓSTICOS!L17)-1))&lt;&gt;RESULTADOS!E17),2,IF(SIGN(VALUE(LEFT(PRONÓSTICOS!L17,FIND("-",PRONÓSTICOS!L17)-1))-VALUE(MID(PRONÓSTICOS!L17,FIND("-",PRONÓSTICOS!L17)+1,10)))=SIGN(RESULTADOS!E17-RESULTADOS!F17),1,0))))</f>
        <v/>
      </c>
    </row>
    <row r="17">
      <c r="A17" s="12" t="n">
        <v>15</v>
      </c>
      <c r="B17" s="12" t="inlineStr">
        <is>
          <t>Marruecos vs Portugal</t>
        </is>
      </c>
      <c r="C17" s="12">
        <f>IF(OR(RESULTADOS!E18="",RESULTADOS!E18=0,RESULTADOS!F18=""),"—",IF(AND(VALUE(LEFT(PRONÓSTICOS!C18,FIND("-",PRONÓSTICOS!C18)-1))=RESULTADOS!E18,VALUE(MID(PRONÓSTICOS!C18,FIND("-",PRONÓSTICOS!C18)+1,10))=RESULTADOS!F18),3,IF(AND(VALUE(LEFT(PRONÓSTICOS!C18,FIND("-",PRONÓSTICOS!C18)-1))-VALUE(MID(PRONÓSTICOS!C18,FIND("-",PRONÓSTICOS!C18)+1,10))=RESULTADOS!E18-RESULTADOS!F18,VALUE(LEFT(PRONÓSTICOS!C18,FIND("-",PRONÓSTICOS!C18)-1))&lt;&gt;RESULTADOS!E18),2,IF(SIGN(VALUE(LEFT(PRONÓSTICOS!C18,FIND("-",PRONÓSTICOS!C18)-1))-VALUE(MID(PRONÓSTICOS!C18,FIND("-",PRONÓSTICOS!C18)+1,10)))=SIGN(RESULTADOS!E18-RESULTADOS!F18),1,0))))</f>
        <v/>
      </c>
      <c r="D17" s="12">
        <f>IF(OR(RESULTADOS!E18="",RESULTADOS!E18=0,RESULTADOS!F18=""),"—",IF(AND(VALUE(LEFT(PRONÓSTICOS!D18,FIND("-",PRONÓSTICOS!D18)-1))=RESULTADOS!E18,VALUE(MID(PRONÓSTICOS!D18,FIND("-",PRONÓSTICOS!D18)+1,10))=RESULTADOS!F18),3,IF(AND(VALUE(LEFT(PRONÓSTICOS!D18,FIND("-",PRONÓSTICOS!D18)-1))-VALUE(MID(PRONÓSTICOS!D18,FIND("-",PRONÓSTICOS!D18)+1,10))=RESULTADOS!E18-RESULTADOS!F18,VALUE(LEFT(PRONÓSTICOS!D18,FIND("-",PRONÓSTICOS!D18)-1))&lt;&gt;RESULTADOS!E18),2,IF(SIGN(VALUE(LEFT(PRONÓSTICOS!D18,FIND("-",PRONÓSTICOS!D18)-1))-VALUE(MID(PRONÓSTICOS!D18,FIND("-",PRONÓSTICOS!D18)+1,10)))=SIGN(RESULTADOS!E18-RESULTADOS!F18),1,0))))</f>
        <v/>
      </c>
      <c r="E17" s="12">
        <f>IF(OR(RESULTADOS!E18="",RESULTADOS!E18=0,RESULTADOS!F18=""),"—",IF(AND(VALUE(LEFT(PRONÓSTICOS!E18,FIND("-",PRONÓSTICOS!E18)-1))=RESULTADOS!E18,VALUE(MID(PRONÓSTICOS!E18,FIND("-",PRONÓSTICOS!E18)+1,10))=RESULTADOS!F18),3,IF(AND(VALUE(LEFT(PRONÓSTICOS!E18,FIND("-",PRONÓSTICOS!E18)-1))-VALUE(MID(PRONÓSTICOS!E18,FIND("-",PRONÓSTICOS!E18)+1,10))=RESULTADOS!E18-RESULTADOS!F18,VALUE(LEFT(PRONÓSTICOS!E18,FIND("-",PRONÓSTICOS!E18)-1))&lt;&gt;RESULTADOS!E18),2,IF(SIGN(VALUE(LEFT(PRONÓSTICOS!E18,FIND("-",PRONÓSTICOS!E18)-1))-VALUE(MID(PRONÓSTICOS!E18,FIND("-",PRONÓSTICOS!E18)+1,10)))=SIGN(RESULTADOS!E18-RESULTADOS!F18),1,0))))</f>
        <v/>
      </c>
      <c r="F17" s="12">
        <f>IF(OR(RESULTADOS!E18="",RESULTADOS!E18=0,RESULTADOS!F18=""),"—",IF(AND(VALUE(LEFT(PRONÓSTICOS!F18,FIND("-",PRONÓSTICOS!F18)-1))=RESULTADOS!E18,VALUE(MID(PRONÓSTICOS!F18,FIND("-",PRONÓSTICOS!F18)+1,10))=RESULTADOS!F18),3,IF(AND(VALUE(LEFT(PRONÓSTICOS!F18,FIND("-",PRONÓSTICOS!F18)-1))-VALUE(MID(PRONÓSTICOS!F18,FIND("-",PRONÓSTICOS!F18)+1,10))=RESULTADOS!E18-RESULTADOS!F18,VALUE(LEFT(PRONÓSTICOS!F18,FIND("-",PRONÓSTICOS!F18)-1))&lt;&gt;RESULTADOS!E18),2,IF(SIGN(VALUE(LEFT(PRONÓSTICOS!F18,FIND("-",PRONÓSTICOS!F18)-1))-VALUE(MID(PRONÓSTICOS!F18,FIND("-",PRONÓSTICOS!F18)+1,10)))=SIGN(RESULTADOS!E18-RESULTADOS!F18),1,0))))</f>
        <v/>
      </c>
      <c r="G17" s="12">
        <f>IF(OR(RESULTADOS!E18="",RESULTADOS!E18=0,RESULTADOS!F18=""),"—",IF(AND(VALUE(LEFT(PRONÓSTICOS!G18,FIND("-",PRONÓSTICOS!G18)-1))=RESULTADOS!E18,VALUE(MID(PRONÓSTICOS!G18,FIND("-",PRONÓSTICOS!G18)+1,10))=RESULTADOS!F18),3,IF(AND(VALUE(LEFT(PRONÓSTICOS!G18,FIND("-",PRONÓSTICOS!G18)-1))-VALUE(MID(PRONÓSTICOS!G18,FIND("-",PRONÓSTICOS!G18)+1,10))=RESULTADOS!E18-RESULTADOS!F18,VALUE(LEFT(PRONÓSTICOS!G18,FIND("-",PRONÓSTICOS!G18)-1))&lt;&gt;RESULTADOS!E18),2,IF(SIGN(VALUE(LEFT(PRONÓSTICOS!G18,FIND("-",PRONÓSTICOS!G18)-1))-VALUE(MID(PRONÓSTICOS!G18,FIND("-",PRONÓSTICOS!G18)+1,10)))=SIGN(RESULTADOS!E18-RESULTADOS!F18),1,0))))</f>
        <v/>
      </c>
      <c r="H17" s="12">
        <f>IF(OR(RESULTADOS!E18="",RESULTADOS!E18=0,RESULTADOS!F18=""),"—",IF(AND(VALUE(LEFT(PRONÓSTICOS!H18,FIND("-",PRONÓSTICOS!H18)-1))=RESULTADOS!E18,VALUE(MID(PRONÓSTICOS!H18,FIND("-",PRONÓSTICOS!H18)+1,10))=RESULTADOS!F18),3,IF(AND(VALUE(LEFT(PRONÓSTICOS!H18,FIND("-",PRONÓSTICOS!H18)-1))-VALUE(MID(PRONÓSTICOS!H18,FIND("-",PRONÓSTICOS!H18)+1,10))=RESULTADOS!E18-RESULTADOS!F18,VALUE(LEFT(PRONÓSTICOS!H18,FIND("-",PRONÓSTICOS!H18)-1))&lt;&gt;RESULTADOS!E18),2,IF(SIGN(VALUE(LEFT(PRONÓSTICOS!H18,FIND("-",PRONÓSTICOS!H18)-1))-VALUE(MID(PRONÓSTICOS!H18,FIND("-",PRONÓSTICOS!H18)+1,10)))=SIGN(RESULTADOS!E18-RESULTADOS!F18),1,0))))</f>
        <v/>
      </c>
      <c r="I17" s="12">
        <f>IF(OR(RESULTADOS!E18="",RESULTADOS!E18=0,RESULTADOS!F18=""),"—",IF(AND(VALUE(LEFT(PRONÓSTICOS!I18,FIND("-",PRONÓSTICOS!I18)-1))=RESULTADOS!E18,VALUE(MID(PRONÓSTICOS!I18,FIND("-",PRONÓSTICOS!I18)+1,10))=RESULTADOS!F18),3,IF(AND(VALUE(LEFT(PRONÓSTICOS!I18,FIND("-",PRONÓSTICOS!I18)-1))-VALUE(MID(PRONÓSTICOS!I18,FIND("-",PRONÓSTICOS!I18)+1,10))=RESULTADOS!E18-RESULTADOS!F18,VALUE(LEFT(PRONÓSTICOS!I18,FIND("-",PRONÓSTICOS!I18)-1))&lt;&gt;RESULTADOS!E18),2,IF(SIGN(VALUE(LEFT(PRONÓSTICOS!I18,FIND("-",PRONÓSTICOS!I18)-1))-VALUE(MID(PRONÓSTICOS!I18,FIND("-",PRONÓSTICOS!I18)+1,10)))=SIGN(RESULTADOS!E18-RESULTADOS!F18),1,0))))</f>
        <v/>
      </c>
      <c r="J17" s="12">
        <f>IF(OR(RESULTADOS!E18="",RESULTADOS!E18=0,RESULTADOS!F18=""),"—",IF(AND(VALUE(LEFT(PRONÓSTICOS!J18,FIND("-",PRONÓSTICOS!J18)-1))=RESULTADOS!E18,VALUE(MID(PRONÓSTICOS!J18,FIND("-",PRONÓSTICOS!J18)+1,10))=RESULTADOS!F18),3,IF(AND(VALUE(LEFT(PRONÓSTICOS!J18,FIND("-",PRONÓSTICOS!J18)-1))-VALUE(MID(PRONÓSTICOS!J18,FIND("-",PRONÓSTICOS!J18)+1,10))=RESULTADOS!E18-RESULTADOS!F18,VALUE(LEFT(PRONÓSTICOS!J18,FIND("-",PRONÓSTICOS!J18)-1))&lt;&gt;RESULTADOS!E18),2,IF(SIGN(VALUE(LEFT(PRONÓSTICOS!J18,FIND("-",PRONÓSTICOS!J18)-1))-VALUE(MID(PRONÓSTICOS!J18,FIND("-",PRONÓSTICOS!J18)+1,10)))=SIGN(RESULTADOS!E18-RESULTADOS!F18),1,0))))</f>
        <v/>
      </c>
      <c r="K17" s="12">
        <f>IF(OR(RESULTADOS!E18="",RESULTADOS!E18=0,RESULTADOS!F18=""),"—",IF(AND(VALUE(LEFT(PRONÓSTICOS!K18,FIND("-",PRONÓSTICOS!K18)-1))=RESULTADOS!E18,VALUE(MID(PRONÓSTICOS!K18,FIND("-",PRONÓSTICOS!K18)+1,10))=RESULTADOS!F18),3,IF(AND(VALUE(LEFT(PRONÓSTICOS!K18,FIND("-",PRONÓSTICOS!K18)-1))-VALUE(MID(PRONÓSTICOS!K18,FIND("-",PRONÓSTICOS!K18)+1,10))=RESULTADOS!E18-RESULTADOS!F18,VALUE(LEFT(PRONÓSTICOS!K18,FIND("-",PRONÓSTICOS!K18)-1))&lt;&gt;RESULTADOS!E18),2,IF(SIGN(VALUE(LEFT(PRONÓSTICOS!K18,FIND("-",PRONÓSTICOS!K18)-1))-VALUE(MID(PRONÓSTICOS!K18,FIND("-",PRONÓSTICOS!K18)+1,10)))=SIGN(RESULTADOS!E18-RESULTADOS!F18),1,0))))</f>
        <v/>
      </c>
      <c r="L17" s="12">
        <f>IF(OR(RESULTADOS!E18="",RESULTADOS!E18=0,RESULTADOS!F18=""),"—",IF(AND(VALUE(LEFT(PRONÓSTICOS!L18,FIND("-",PRONÓSTICOS!L18)-1))=RESULTADOS!E18,VALUE(MID(PRONÓSTICOS!L18,FIND("-",PRONÓSTICOS!L18)+1,10))=RESULTADOS!F18),3,IF(AND(VALUE(LEFT(PRONÓSTICOS!L18,FIND("-",PRONÓSTICOS!L18)-1))-VALUE(MID(PRONÓSTICOS!L18,FIND("-",PRONÓSTICOS!L18)+1,10))=RESULTADOS!E18-RESULTADOS!F18,VALUE(LEFT(PRONÓSTICOS!L18,FIND("-",PRONÓSTICOS!L18)-1))&lt;&gt;RESULTADOS!E18),2,IF(SIGN(VALUE(LEFT(PRONÓSTICOS!L18,FIND("-",PRONÓSTICOS!L18)-1))-VALUE(MID(PRONÓSTICOS!L18,FIND("-",PRONÓSTICOS!L18)+1,10)))=SIGN(RESULTADOS!E18-RESULTADOS!F18),1,0))))</f>
        <v/>
      </c>
    </row>
    <row r="18">
      <c r="A18" s="70" t="n">
        <v>16</v>
      </c>
      <c r="B18" s="70" t="inlineStr">
        <is>
          <t>Francia vs Bélgica</t>
        </is>
      </c>
      <c r="C18" s="70">
        <f>IF(OR(RESULTADOS!E19="",RESULTADOS!E19=0,RESULTADOS!F19=""),"—",IF(AND(VALUE(LEFT(PRONÓSTICOS!C19,FIND("-",PRONÓSTICOS!C19)-1))=RESULTADOS!E19,VALUE(MID(PRONÓSTICOS!C19,FIND("-",PRONÓSTICOS!C19)+1,10))=RESULTADOS!F19),3,IF(AND(VALUE(LEFT(PRONÓSTICOS!C19,FIND("-",PRONÓSTICOS!C19)-1))-VALUE(MID(PRONÓSTICOS!C19,FIND("-",PRONÓSTICOS!C19)+1,10))=RESULTADOS!E19-RESULTADOS!F19,VALUE(LEFT(PRONÓSTICOS!C19,FIND("-",PRONÓSTICOS!C19)-1))&lt;&gt;RESULTADOS!E19),2,IF(SIGN(VALUE(LEFT(PRONÓSTICOS!C19,FIND("-",PRONÓSTICOS!C19)-1))-VALUE(MID(PRONÓSTICOS!C19,FIND("-",PRONÓSTICOS!C19)+1,10)))=SIGN(RESULTADOS!E19-RESULTADOS!F19),1,0))))</f>
        <v/>
      </c>
      <c r="D18" s="70">
        <f>IF(OR(RESULTADOS!E19="",RESULTADOS!E19=0,RESULTADOS!F19=""),"—",IF(AND(VALUE(LEFT(PRONÓSTICOS!D19,FIND("-",PRONÓSTICOS!D19)-1))=RESULTADOS!E19,VALUE(MID(PRONÓSTICOS!D19,FIND("-",PRONÓSTICOS!D19)+1,10))=RESULTADOS!F19),3,IF(AND(VALUE(LEFT(PRONÓSTICOS!D19,FIND("-",PRONÓSTICOS!D19)-1))-VALUE(MID(PRONÓSTICOS!D19,FIND("-",PRONÓSTICOS!D19)+1,10))=RESULTADOS!E19-RESULTADOS!F19,VALUE(LEFT(PRONÓSTICOS!D19,FIND("-",PRONÓSTICOS!D19)-1))&lt;&gt;RESULTADOS!E19),2,IF(SIGN(VALUE(LEFT(PRONÓSTICOS!D19,FIND("-",PRONÓSTICOS!D19)-1))-VALUE(MID(PRONÓSTICOS!D19,FIND("-",PRONÓSTICOS!D19)+1,10)))=SIGN(RESULTADOS!E19-RESULTADOS!F19),1,0))))</f>
        <v/>
      </c>
      <c r="E18" s="70">
        <f>IF(OR(RESULTADOS!E19="",RESULTADOS!E19=0,RESULTADOS!F19=""),"—",IF(AND(VALUE(LEFT(PRONÓSTICOS!E19,FIND("-",PRONÓSTICOS!E19)-1))=RESULTADOS!E19,VALUE(MID(PRONÓSTICOS!E19,FIND("-",PRONÓSTICOS!E19)+1,10))=RESULTADOS!F19),3,IF(AND(VALUE(LEFT(PRONÓSTICOS!E19,FIND("-",PRONÓSTICOS!E19)-1))-VALUE(MID(PRONÓSTICOS!E19,FIND("-",PRONÓSTICOS!E19)+1,10))=RESULTADOS!E19-RESULTADOS!F19,VALUE(LEFT(PRONÓSTICOS!E19,FIND("-",PRONÓSTICOS!E19)-1))&lt;&gt;RESULTADOS!E19),2,IF(SIGN(VALUE(LEFT(PRONÓSTICOS!E19,FIND("-",PRONÓSTICOS!E19)-1))-VALUE(MID(PRONÓSTICOS!E19,FIND("-",PRONÓSTICOS!E19)+1,10)))=SIGN(RESULTADOS!E19-RESULTADOS!F19),1,0))))</f>
        <v/>
      </c>
      <c r="F18" s="70">
        <f>IF(OR(RESULTADOS!E19="",RESULTADOS!E19=0,RESULTADOS!F19=""),"—",IF(AND(VALUE(LEFT(PRONÓSTICOS!F19,FIND("-",PRONÓSTICOS!F19)-1))=RESULTADOS!E19,VALUE(MID(PRONÓSTICOS!F19,FIND("-",PRONÓSTICOS!F19)+1,10))=RESULTADOS!F19),3,IF(AND(VALUE(LEFT(PRONÓSTICOS!F19,FIND("-",PRONÓSTICOS!F19)-1))-VALUE(MID(PRONÓSTICOS!F19,FIND("-",PRONÓSTICOS!F19)+1,10))=RESULTADOS!E19-RESULTADOS!F19,VALUE(LEFT(PRONÓSTICOS!F19,FIND("-",PRONÓSTICOS!F19)-1))&lt;&gt;RESULTADOS!E19),2,IF(SIGN(VALUE(LEFT(PRONÓSTICOS!F19,FIND("-",PRONÓSTICOS!F19)-1))-VALUE(MID(PRONÓSTICOS!F19,FIND("-",PRONÓSTICOS!F19)+1,10)))=SIGN(RESULTADOS!E19-RESULTADOS!F19),1,0))))</f>
        <v/>
      </c>
      <c r="G18" s="70">
        <f>IF(OR(RESULTADOS!E19="",RESULTADOS!E19=0,RESULTADOS!F19=""),"—",IF(AND(VALUE(LEFT(PRONÓSTICOS!G19,FIND("-",PRONÓSTICOS!G19)-1))=RESULTADOS!E19,VALUE(MID(PRONÓSTICOS!G19,FIND("-",PRONÓSTICOS!G19)+1,10))=RESULTADOS!F19),3,IF(AND(VALUE(LEFT(PRONÓSTICOS!G19,FIND("-",PRONÓSTICOS!G19)-1))-VALUE(MID(PRONÓSTICOS!G19,FIND("-",PRONÓSTICOS!G19)+1,10))=RESULTADOS!E19-RESULTADOS!F19,VALUE(LEFT(PRONÓSTICOS!G19,FIND("-",PRONÓSTICOS!G19)-1))&lt;&gt;RESULTADOS!E19),2,IF(SIGN(VALUE(LEFT(PRONÓSTICOS!G19,FIND("-",PRONÓSTICOS!G19)-1))-VALUE(MID(PRONÓSTICOS!G19,FIND("-",PRONÓSTICOS!G19)+1,10)))=SIGN(RESULTADOS!E19-RESULTADOS!F19),1,0))))</f>
        <v/>
      </c>
      <c r="H18" s="70">
        <f>IF(OR(RESULTADOS!E19="",RESULTADOS!E19=0,RESULTADOS!F19=""),"—",IF(AND(VALUE(LEFT(PRONÓSTICOS!H19,FIND("-",PRONÓSTICOS!H19)-1))=RESULTADOS!E19,VALUE(MID(PRONÓSTICOS!H19,FIND("-",PRONÓSTICOS!H19)+1,10))=RESULTADOS!F19),3,IF(AND(VALUE(LEFT(PRONÓSTICOS!H19,FIND("-",PRONÓSTICOS!H19)-1))-VALUE(MID(PRONÓSTICOS!H19,FIND("-",PRONÓSTICOS!H19)+1,10))=RESULTADOS!E19-RESULTADOS!F19,VALUE(LEFT(PRONÓSTICOS!H19,FIND("-",PRONÓSTICOS!H19)-1))&lt;&gt;RESULTADOS!E19),2,IF(SIGN(VALUE(LEFT(PRONÓSTICOS!H19,FIND("-",PRONÓSTICOS!H19)-1))-VALUE(MID(PRONÓSTICOS!H19,FIND("-",PRONÓSTICOS!H19)+1,10)))=SIGN(RESULTADOS!E19-RESULTADOS!F19),1,0))))</f>
        <v/>
      </c>
      <c r="I18" s="70">
        <f>IF(OR(RESULTADOS!E19="",RESULTADOS!E19=0,RESULTADOS!F19=""),"—",IF(AND(VALUE(LEFT(PRONÓSTICOS!I19,FIND("-",PRONÓSTICOS!I19)-1))=RESULTADOS!E19,VALUE(MID(PRONÓSTICOS!I19,FIND("-",PRONÓSTICOS!I19)+1,10))=RESULTADOS!F19),3,IF(AND(VALUE(LEFT(PRONÓSTICOS!I19,FIND("-",PRONÓSTICOS!I19)-1))-VALUE(MID(PRONÓSTICOS!I19,FIND("-",PRONÓSTICOS!I19)+1,10))=RESULTADOS!E19-RESULTADOS!F19,VALUE(LEFT(PRONÓSTICOS!I19,FIND("-",PRONÓSTICOS!I19)-1))&lt;&gt;RESULTADOS!E19),2,IF(SIGN(VALUE(LEFT(PRONÓSTICOS!I19,FIND("-",PRONÓSTICOS!I19)-1))-VALUE(MID(PRONÓSTICOS!I19,FIND("-",PRONÓSTICOS!I19)+1,10)))=SIGN(RESULTADOS!E19-RESULTADOS!F19),1,0))))</f>
        <v/>
      </c>
      <c r="J18" s="70">
        <f>IF(OR(RESULTADOS!E19="",RESULTADOS!E19=0,RESULTADOS!F19=""),"—",IF(AND(VALUE(LEFT(PRONÓSTICOS!J19,FIND("-",PRONÓSTICOS!J19)-1))=RESULTADOS!E19,VALUE(MID(PRONÓSTICOS!J19,FIND("-",PRONÓSTICOS!J19)+1,10))=RESULTADOS!F19),3,IF(AND(VALUE(LEFT(PRONÓSTICOS!J19,FIND("-",PRONÓSTICOS!J19)-1))-VALUE(MID(PRONÓSTICOS!J19,FIND("-",PRONÓSTICOS!J19)+1,10))=RESULTADOS!E19-RESULTADOS!F19,VALUE(LEFT(PRONÓSTICOS!J19,FIND("-",PRONÓSTICOS!J19)-1))&lt;&gt;RESULTADOS!E19),2,IF(SIGN(VALUE(LEFT(PRONÓSTICOS!J19,FIND("-",PRONÓSTICOS!J19)-1))-VALUE(MID(PRONÓSTICOS!J19,FIND("-",PRONÓSTICOS!J19)+1,10)))=SIGN(RESULTADOS!E19-RESULTADOS!F19),1,0))))</f>
        <v/>
      </c>
      <c r="K18" s="70">
        <f>IF(OR(RESULTADOS!E19="",RESULTADOS!E19=0,RESULTADOS!F19=""),"—",IF(AND(VALUE(LEFT(PRONÓSTICOS!K19,FIND("-",PRONÓSTICOS!K19)-1))=RESULTADOS!E19,VALUE(MID(PRONÓSTICOS!K19,FIND("-",PRONÓSTICOS!K19)+1,10))=RESULTADOS!F19),3,IF(AND(VALUE(LEFT(PRONÓSTICOS!K19,FIND("-",PRONÓSTICOS!K19)-1))-VALUE(MID(PRONÓSTICOS!K19,FIND("-",PRONÓSTICOS!K19)+1,10))=RESULTADOS!E19-RESULTADOS!F19,VALUE(LEFT(PRONÓSTICOS!K19,FIND("-",PRONÓSTICOS!K19)-1))&lt;&gt;RESULTADOS!E19),2,IF(SIGN(VALUE(LEFT(PRONÓSTICOS!K19,FIND("-",PRONÓSTICOS!K19)-1))-VALUE(MID(PRONÓSTICOS!K19,FIND("-",PRONÓSTICOS!K19)+1,10)))=SIGN(RESULTADOS!E19-RESULTADOS!F19),1,0))))</f>
        <v/>
      </c>
      <c r="L18" s="70">
        <f>IF(OR(RESULTADOS!E19="",RESULTADOS!E19=0,RESULTADOS!F19=""),"—",IF(AND(VALUE(LEFT(PRONÓSTICOS!L19,FIND("-",PRONÓSTICOS!L19)-1))=RESULTADOS!E19,VALUE(MID(PRONÓSTICOS!L19,FIND("-",PRONÓSTICOS!L19)+1,10))=RESULTADOS!F19),3,IF(AND(VALUE(LEFT(PRONÓSTICOS!L19,FIND("-",PRONÓSTICOS!L19)-1))-VALUE(MID(PRONÓSTICOS!L19,FIND("-",PRONÓSTICOS!L19)+1,10))=RESULTADOS!E19-RESULTADOS!F19,VALUE(LEFT(PRONÓSTICOS!L19,FIND("-",PRONÓSTICOS!L19)-1))&lt;&gt;RESULTADOS!E19),2,IF(SIGN(VALUE(LEFT(PRONÓSTICOS!L19,FIND("-",PRONÓSTICOS!L19)-1))-VALUE(MID(PRONÓSTICOS!L19,FIND("-",PRONÓSTICOS!L19)+1,10)))=SIGN(RESULTADOS!E19-RESULTADOS!F19),1,0))))</f>
        <v/>
      </c>
    </row>
    <row r="19">
      <c r="A19" s="12" t="n">
        <v>17</v>
      </c>
      <c r="B19" s="12" t="inlineStr">
        <is>
          <t>Italia vs Francia</t>
        </is>
      </c>
      <c r="C19" s="12">
        <f>IF(OR(RESULTADOS!E20="",RESULTADOS!E20=0,RESULTADOS!F20=""),"—",IF(AND(VALUE(LEFT(PRONÓSTICOS!C20,FIND("-",PRONÓSTICOS!C20)-1))=RESULTADOS!E20,VALUE(MID(PRONÓSTICOS!C20,FIND("-",PRONÓSTICOS!C20)+1,10))=RESULTADOS!F20),3,IF(AND(VALUE(LEFT(PRONÓSTICOS!C20,FIND("-",PRONÓSTICOS!C20)-1))-VALUE(MID(PRONÓSTICOS!C20,FIND("-",PRONÓSTICOS!C20)+1,10))=RESULTADOS!E20-RESULTADOS!F20,VALUE(LEFT(PRONÓSTICOS!C20,FIND("-",PRONÓSTICOS!C20)-1))&lt;&gt;RESULTADOS!E20),2,IF(SIGN(VALUE(LEFT(PRONÓSTICOS!C20,FIND("-",PRONÓSTICOS!C20)-1))-VALUE(MID(PRONÓSTICOS!C20,FIND("-",PRONÓSTICOS!C20)+1,10)))=SIGN(RESULTADOS!E20-RESULTADOS!F20),1,0))))</f>
        <v/>
      </c>
      <c r="D19" s="12">
        <f>IF(OR(RESULTADOS!E20="",RESULTADOS!E20=0,RESULTADOS!F20=""),"—",IF(AND(VALUE(LEFT(PRONÓSTICOS!D20,FIND("-",PRONÓSTICOS!D20)-1))=RESULTADOS!E20,VALUE(MID(PRONÓSTICOS!D20,FIND("-",PRONÓSTICOS!D20)+1,10))=RESULTADOS!F20),3,IF(AND(VALUE(LEFT(PRONÓSTICOS!D20,FIND("-",PRONÓSTICOS!D20)-1))-VALUE(MID(PRONÓSTICOS!D20,FIND("-",PRONÓSTICOS!D20)+1,10))=RESULTADOS!E20-RESULTADOS!F20,VALUE(LEFT(PRONÓSTICOS!D20,FIND("-",PRONÓSTICOS!D20)-1))&lt;&gt;RESULTADOS!E20),2,IF(SIGN(VALUE(LEFT(PRONÓSTICOS!D20,FIND("-",PRONÓSTICOS!D20)-1))-VALUE(MID(PRONÓSTICOS!D20,FIND("-",PRONÓSTICOS!D20)+1,10)))=SIGN(RESULTADOS!E20-RESULTADOS!F20),1,0))))</f>
        <v/>
      </c>
      <c r="E19" s="12">
        <f>IF(OR(RESULTADOS!E20="",RESULTADOS!E20=0,RESULTADOS!F20=""),"—",IF(AND(VALUE(LEFT(PRONÓSTICOS!E20,FIND("-",PRONÓSTICOS!E20)-1))=RESULTADOS!E20,VALUE(MID(PRONÓSTICOS!E20,FIND("-",PRONÓSTICOS!E20)+1,10))=RESULTADOS!F20),3,IF(AND(VALUE(LEFT(PRONÓSTICOS!E20,FIND("-",PRONÓSTICOS!E20)-1))-VALUE(MID(PRONÓSTICOS!E20,FIND("-",PRONÓSTICOS!E20)+1,10))=RESULTADOS!E20-RESULTADOS!F20,VALUE(LEFT(PRONÓSTICOS!E20,FIND("-",PRONÓSTICOS!E20)-1))&lt;&gt;RESULTADOS!E20),2,IF(SIGN(VALUE(LEFT(PRONÓSTICOS!E20,FIND("-",PRONÓSTICOS!E20)-1))-VALUE(MID(PRONÓSTICOS!E20,FIND("-",PRONÓSTICOS!E20)+1,10)))=SIGN(RESULTADOS!E20-RESULTADOS!F20),1,0))))</f>
        <v/>
      </c>
      <c r="F19" s="12">
        <f>IF(OR(RESULTADOS!E20="",RESULTADOS!E20=0,RESULTADOS!F20=""),"—",IF(AND(VALUE(LEFT(PRONÓSTICOS!F20,FIND("-",PRONÓSTICOS!F20)-1))=RESULTADOS!E20,VALUE(MID(PRONÓSTICOS!F20,FIND("-",PRONÓSTICOS!F20)+1,10))=RESULTADOS!F20),3,IF(AND(VALUE(LEFT(PRONÓSTICOS!F20,FIND("-",PRONÓSTICOS!F20)-1))-VALUE(MID(PRONÓSTICOS!F20,FIND("-",PRONÓSTICOS!F20)+1,10))=RESULTADOS!E20-RESULTADOS!F20,VALUE(LEFT(PRONÓSTICOS!F20,FIND("-",PRONÓSTICOS!F20)-1))&lt;&gt;RESULTADOS!E20),2,IF(SIGN(VALUE(LEFT(PRONÓSTICOS!F20,FIND("-",PRONÓSTICOS!F20)-1))-VALUE(MID(PRONÓSTICOS!F20,FIND("-",PRONÓSTICOS!F20)+1,10)))=SIGN(RESULTADOS!E20-RESULTADOS!F20),1,0))))</f>
        <v/>
      </c>
      <c r="G19" s="12">
        <f>IF(OR(RESULTADOS!E20="",RESULTADOS!E20=0,RESULTADOS!F20=""),"—",IF(AND(VALUE(LEFT(PRONÓSTICOS!G20,FIND("-",PRONÓSTICOS!G20)-1))=RESULTADOS!E20,VALUE(MID(PRONÓSTICOS!G20,FIND("-",PRONÓSTICOS!G20)+1,10))=RESULTADOS!F20),3,IF(AND(VALUE(LEFT(PRONÓSTICOS!G20,FIND("-",PRONÓSTICOS!G20)-1))-VALUE(MID(PRONÓSTICOS!G20,FIND("-",PRONÓSTICOS!G20)+1,10))=RESULTADOS!E20-RESULTADOS!F20,VALUE(LEFT(PRONÓSTICOS!G20,FIND("-",PRONÓSTICOS!G20)-1))&lt;&gt;RESULTADOS!E20),2,IF(SIGN(VALUE(LEFT(PRONÓSTICOS!G20,FIND("-",PRONÓSTICOS!G20)-1))-VALUE(MID(PRONÓSTICOS!G20,FIND("-",PRONÓSTICOS!G20)+1,10)))=SIGN(RESULTADOS!E20-RESULTADOS!F20),1,0))))</f>
        <v/>
      </c>
      <c r="H19" s="12">
        <f>IF(OR(RESULTADOS!E20="",RESULTADOS!E20=0,RESULTADOS!F20=""),"—",IF(AND(VALUE(LEFT(PRONÓSTICOS!H20,FIND("-",PRONÓSTICOS!H20)-1))=RESULTADOS!E20,VALUE(MID(PRONÓSTICOS!H20,FIND("-",PRONÓSTICOS!H20)+1,10))=RESULTADOS!F20),3,IF(AND(VALUE(LEFT(PRONÓSTICOS!H20,FIND("-",PRONÓSTICOS!H20)-1))-VALUE(MID(PRONÓSTICOS!H20,FIND("-",PRONÓSTICOS!H20)+1,10))=RESULTADOS!E20-RESULTADOS!F20,VALUE(LEFT(PRONÓSTICOS!H20,FIND("-",PRONÓSTICOS!H20)-1))&lt;&gt;RESULTADOS!E20),2,IF(SIGN(VALUE(LEFT(PRONÓSTICOS!H20,FIND("-",PRONÓSTICOS!H20)-1))-VALUE(MID(PRONÓSTICOS!H20,FIND("-",PRONÓSTICOS!H20)+1,10)))=SIGN(RESULTADOS!E20-RESULTADOS!F20),1,0))))</f>
        <v/>
      </c>
      <c r="I19" s="12">
        <f>IF(OR(RESULTADOS!E20="",RESULTADOS!E20=0,RESULTADOS!F20=""),"—",IF(AND(VALUE(LEFT(PRONÓSTICOS!I20,FIND("-",PRONÓSTICOS!I20)-1))=RESULTADOS!E20,VALUE(MID(PRONÓSTICOS!I20,FIND("-",PRONÓSTICOS!I20)+1,10))=RESULTADOS!F20),3,IF(AND(VALUE(LEFT(PRONÓSTICOS!I20,FIND("-",PRONÓSTICOS!I20)-1))-VALUE(MID(PRONÓSTICOS!I20,FIND("-",PRONÓSTICOS!I20)+1,10))=RESULTADOS!E20-RESULTADOS!F20,VALUE(LEFT(PRONÓSTICOS!I20,FIND("-",PRONÓSTICOS!I20)-1))&lt;&gt;RESULTADOS!E20),2,IF(SIGN(VALUE(LEFT(PRONÓSTICOS!I20,FIND("-",PRONÓSTICOS!I20)-1))-VALUE(MID(PRONÓSTICOS!I20,FIND("-",PRONÓSTICOS!I20)+1,10)))=SIGN(RESULTADOS!E20-RESULTADOS!F20),1,0))))</f>
        <v/>
      </c>
      <c r="J19" s="12">
        <f>IF(OR(RESULTADOS!E20="",RESULTADOS!E20=0,RESULTADOS!F20=""),"—",IF(AND(VALUE(LEFT(PRONÓSTICOS!J20,FIND("-",PRONÓSTICOS!J20)-1))=RESULTADOS!E20,VALUE(MID(PRONÓSTICOS!J20,FIND("-",PRONÓSTICOS!J20)+1,10))=RESULTADOS!F20),3,IF(AND(VALUE(LEFT(PRONÓSTICOS!J20,FIND("-",PRONÓSTICOS!J20)-1))-VALUE(MID(PRONÓSTICOS!J20,FIND("-",PRONÓSTICOS!J20)+1,10))=RESULTADOS!E20-RESULTADOS!F20,VALUE(LEFT(PRONÓSTICOS!J20,FIND("-",PRONÓSTICOS!J20)-1))&lt;&gt;RESULTADOS!E20),2,IF(SIGN(VALUE(LEFT(PRONÓSTICOS!J20,FIND("-",PRONÓSTICOS!J20)-1))-VALUE(MID(PRONÓSTICOS!J20,FIND("-",PRONÓSTICOS!J20)+1,10)))=SIGN(RESULTADOS!E20-RESULTADOS!F20),1,0))))</f>
        <v/>
      </c>
      <c r="K19" s="12">
        <f>IF(OR(RESULTADOS!E20="",RESULTADOS!E20=0,RESULTADOS!F20=""),"—",IF(AND(VALUE(LEFT(PRONÓSTICOS!K20,FIND("-",PRONÓSTICOS!K20)-1))=RESULTADOS!E20,VALUE(MID(PRONÓSTICOS!K20,FIND("-",PRONÓSTICOS!K20)+1,10))=RESULTADOS!F20),3,IF(AND(VALUE(LEFT(PRONÓSTICOS!K20,FIND("-",PRONÓSTICOS!K20)-1))-VALUE(MID(PRONÓSTICOS!K20,FIND("-",PRONÓSTICOS!K20)+1,10))=RESULTADOS!E20-RESULTADOS!F20,VALUE(LEFT(PRONÓSTICOS!K20,FIND("-",PRONÓSTICOS!K20)-1))&lt;&gt;RESULTADOS!E20),2,IF(SIGN(VALUE(LEFT(PRONÓSTICOS!K20,FIND("-",PRONÓSTICOS!K20)-1))-VALUE(MID(PRONÓSTICOS!K20,FIND("-",PRONÓSTICOS!K20)+1,10)))=SIGN(RESULTADOS!E20-RESULTADOS!F20),1,0))))</f>
        <v/>
      </c>
      <c r="L19" s="12">
        <f>IF(OR(RESULTADOS!E20="",RESULTADOS!E20=0,RESULTADOS!F20=""),"—",IF(AND(VALUE(LEFT(PRONÓSTICOS!L20,FIND("-",PRONÓSTICOS!L20)-1))=RESULTADOS!E20,VALUE(MID(PRONÓSTICOS!L20,FIND("-",PRONÓSTICOS!L20)+1,10))=RESULTADOS!F20),3,IF(AND(VALUE(LEFT(PRONÓSTICOS!L20,FIND("-",PRONÓSTICOS!L20)-1))-VALUE(MID(PRONÓSTICOS!L20,FIND("-",PRONÓSTICOS!L20)+1,10))=RESULTADOS!E20-RESULTADOS!F20,VALUE(LEFT(PRONÓSTICOS!L20,FIND("-",PRONÓSTICOS!L20)-1))&lt;&gt;RESULTADOS!E20),2,IF(SIGN(VALUE(LEFT(PRONÓSTICOS!L20,FIND("-",PRONÓSTICOS!L20)-1))-VALUE(MID(PRONÓSTICOS!L20,FIND("-",PRONÓSTICOS!L20)+1,10)))=SIGN(RESULTADOS!E20-RESULTADOS!F20),1,0))))</f>
        <v/>
      </c>
    </row>
    <row r="20">
      <c r="A20" s="70" t="n">
        <v>18</v>
      </c>
      <c r="B20" s="70" t="inlineStr">
        <is>
          <t>Bélgica vs Italia</t>
        </is>
      </c>
      <c r="C20" s="70">
        <f>IF(OR(RESULTADOS!E21="",RESULTADOS!E21=0,RESULTADOS!F21=""),"—",IF(AND(VALUE(LEFT(PRONÓSTICOS!C21,FIND("-",PRONÓSTICOS!C21)-1))=RESULTADOS!E21,VALUE(MID(PRONÓSTICOS!C21,FIND("-",PRONÓSTICOS!C21)+1,10))=RESULTADOS!F21),3,IF(AND(VALUE(LEFT(PRONÓSTICOS!C21,FIND("-",PRONÓSTICOS!C21)-1))-VALUE(MID(PRONÓSTICOS!C21,FIND("-",PRONÓSTICOS!C21)+1,10))=RESULTADOS!E21-RESULTADOS!F21,VALUE(LEFT(PRONÓSTICOS!C21,FIND("-",PRONÓSTICOS!C21)-1))&lt;&gt;RESULTADOS!E21),2,IF(SIGN(VALUE(LEFT(PRONÓSTICOS!C21,FIND("-",PRONÓSTICOS!C21)-1))-VALUE(MID(PRONÓSTICOS!C21,FIND("-",PRONÓSTICOS!C21)+1,10)))=SIGN(RESULTADOS!E21-RESULTADOS!F21),1,0))))</f>
        <v/>
      </c>
      <c r="D20" s="70">
        <f>IF(OR(RESULTADOS!E21="",RESULTADOS!E21=0,RESULTADOS!F21=""),"—",IF(AND(VALUE(LEFT(PRONÓSTICOS!D21,FIND("-",PRONÓSTICOS!D21)-1))=RESULTADOS!E21,VALUE(MID(PRONÓSTICOS!D21,FIND("-",PRONÓSTICOS!D21)+1,10))=RESULTADOS!F21),3,IF(AND(VALUE(LEFT(PRONÓSTICOS!D21,FIND("-",PRONÓSTICOS!D21)-1))-VALUE(MID(PRONÓSTICOS!D21,FIND("-",PRONÓSTICOS!D21)+1,10))=RESULTADOS!E21-RESULTADOS!F21,VALUE(LEFT(PRONÓSTICOS!D21,FIND("-",PRONÓSTICOS!D21)-1))&lt;&gt;RESULTADOS!E21),2,IF(SIGN(VALUE(LEFT(PRONÓSTICOS!D21,FIND("-",PRONÓSTICOS!D21)-1))-VALUE(MID(PRONÓSTICOS!D21,FIND("-",PRONÓSTICOS!D21)+1,10)))=SIGN(RESULTADOS!E21-RESULTADOS!F21),1,0))))</f>
        <v/>
      </c>
      <c r="E20" s="70">
        <f>IF(OR(RESULTADOS!E21="",RESULTADOS!E21=0,RESULTADOS!F21=""),"—",IF(AND(VALUE(LEFT(PRONÓSTICOS!E21,FIND("-",PRONÓSTICOS!E21)-1))=RESULTADOS!E21,VALUE(MID(PRONÓSTICOS!E21,FIND("-",PRONÓSTICOS!E21)+1,10))=RESULTADOS!F21),3,IF(AND(VALUE(LEFT(PRONÓSTICOS!E21,FIND("-",PRONÓSTICOS!E21)-1))-VALUE(MID(PRONÓSTICOS!E21,FIND("-",PRONÓSTICOS!E21)+1,10))=RESULTADOS!E21-RESULTADOS!F21,VALUE(LEFT(PRONÓSTICOS!E21,FIND("-",PRONÓSTICOS!E21)-1))&lt;&gt;RESULTADOS!E21),2,IF(SIGN(VALUE(LEFT(PRONÓSTICOS!E21,FIND("-",PRONÓSTICOS!E21)-1))-VALUE(MID(PRONÓSTICOS!E21,FIND("-",PRONÓSTICOS!E21)+1,10)))=SIGN(RESULTADOS!E21-RESULTADOS!F21),1,0))))</f>
        <v/>
      </c>
      <c r="F20" s="70">
        <f>IF(OR(RESULTADOS!E21="",RESULTADOS!E21=0,RESULTADOS!F21=""),"—",IF(AND(VALUE(LEFT(PRONÓSTICOS!F21,FIND("-",PRONÓSTICOS!F21)-1))=RESULTADOS!E21,VALUE(MID(PRONÓSTICOS!F21,FIND("-",PRONÓSTICOS!F21)+1,10))=RESULTADOS!F21),3,IF(AND(VALUE(LEFT(PRONÓSTICOS!F21,FIND("-",PRONÓSTICOS!F21)-1))-VALUE(MID(PRONÓSTICOS!F21,FIND("-",PRONÓSTICOS!F21)+1,10))=RESULTADOS!E21-RESULTADOS!F21,VALUE(LEFT(PRONÓSTICOS!F21,FIND("-",PRONÓSTICOS!F21)-1))&lt;&gt;RESULTADOS!E21),2,IF(SIGN(VALUE(LEFT(PRONÓSTICOS!F21,FIND("-",PRONÓSTICOS!F21)-1))-VALUE(MID(PRONÓSTICOS!F21,FIND("-",PRONÓSTICOS!F21)+1,10)))=SIGN(RESULTADOS!E21-RESULTADOS!F21),1,0))))</f>
        <v/>
      </c>
      <c r="G20" s="70">
        <f>IF(OR(RESULTADOS!E21="",RESULTADOS!E21=0,RESULTADOS!F21=""),"—",IF(AND(VALUE(LEFT(PRONÓSTICOS!G21,FIND("-",PRONÓSTICOS!G21)-1))=RESULTADOS!E21,VALUE(MID(PRONÓSTICOS!G21,FIND("-",PRONÓSTICOS!G21)+1,10))=RESULTADOS!F21),3,IF(AND(VALUE(LEFT(PRONÓSTICOS!G21,FIND("-",PRONÓSTICOS!G21)-1))-VALUE(MID(PRONÓSTICOS!G21,FIND("-",PRONÓSTICOS!G21)+1,10))=RESULTADOS!E21-RESULTADOS!F21,VALUE(LEFT(PRONÓSTICOS!G21,FIND("-",PRONÓSTICOS!G21)-1))&lt;&gt;RESULTADOS!E21),2,IF(SIGN(VALUE(LEFT(PRONÓSTICOS!G21,FIND("-",PRONÓSTICOS!G21)-1))-VALUE(MID(PRONÓSTICOS!G21,FIND("-",PRONÓSTICOS!G21)+1,10)))=SIGN(RESULTADOS!E21-RESULTADOS!F21),1,0))))</f>
        <v/>
      </c>
      <c r="H20" s="70">
        <f>IF(OR(RESULTADOS!E21="",RESULTADOS!E21=0,RESULTADOS!F21=""),"—",IF(AND(VALUE(LEFT(PRONÓSTICOS!H21,FIND("-",PRONÓSTICOS!H21)-1))=RESULTADOS!E21,VALUE(MID(PRONÓSTICOS!H21,FIND("-",PRONÓSTICOS!H21)+1,10))=RESULTADOS!F21),3,IF(AND(VALUE(LEFT(PRONÓSTICOS!H21,FIND("-",PRONÓSTICOS!H21)-1))-VALUE(MID(PRONÓSTICOS!H21,FIND("-",PRONÓSTICOS!H21)+1,10))=RESULTADOS!E21-RESULTADOS!F21,VALUE(LEFT(PRONÓSTICOS!H21,FIND("-",PRONÓSTICOS!H21)-1))&lt;&gt;RESULTADOS!E21),2,IF(SIGN(VALUE(LEFT(PRONÓSTICOS!H21,FIND("-",PRONÓSTICOS!H21)-1))-VALUE(MID(PRONÓSTICOS!H21,FIND("-",PRONÓSTICOS!H21)+1,10)))=SIGN(RESULTADOS!E21-RESULTADOS!F21),1,0))))</f>
        <v/>
      </c>
      <c r="I20" s="70">
        <f>IF(OR(RESULTADOS!E21="",RESULTADOS!E21=0,RESULTADOS!F21=""),"—",IF(AND(VALUE(LEFT(PRONÓSTICOS!I21,FIND("-",PRONÓSTICOS!I21)-1))=RESULTADOS!E21,VALUE(MID(PRONÓSTICOS!I21,FIND("-",PRONÓSTICOS!I21)+1,10))=RESULTADOS!F21),3,IF(AND(VALUE(LEFT(PRONÓSTICOS!I21,FIND("-",PRONÓSTICOS!I21)-1))-VALUE(MID(PRONÓSTICOS!I21,FIND("-",PRONÓSTICOS!I21)+1,10))=RESULTADOS!E21-RESULTADOS!F21,VALUE(LEFT(PRONÓSTICOS!I21,FIND("-",PRONÓSTICOS!I21)-1))&lt;&gt;RESULTADOS!E21),2,IF(SIGN(VALUE(LEFT(PRONÓSTICOS!I21,FIND("-",PRONÓSTICOS!I21)-1))-VALUE(MID(PRONÓSTICOS!I21,FIND("-",PRONÓSTICOS!I21)+1,10)))=SIGN(RESULTADOS!E21-RESULTADOS!F21),1,0))))</f>
        <v/>
      </c>
      <c r="J20" s="70">
        <f>IF(OR(RESULTADOS!E21="",RESULTADOS!E21=0,RESULTADOS!F21=""),"—",IF(AND(VALUE(LEFT(PRONÓSTICOS!J21,FIND("-",PRONÓSTICOS!J21)-1))=RESULTADOS!E21,VALUE(MID(PRONÓSTICOS!J21,FIND("-",PRONÓSTICOS!J21)+1,10))=RESULTADOS!F21),3,IF(AND(VALUE(LEFT(PRONÓSTICOS!J21,FIND("-",PRONÓSTICOS!J21)-1))-VALUE(MID(PRONÓSTICOS!J21,FIND("-",PRONÓSTICOS!J21)+1,10))=RESULTADOS!E21-RESULTADOS!F21,VALUE(LEFT(PRONÓSTICOS!J21,FIND("-",PRONÓSTICOS!J21)-1))&lt;&gt;RESULTADOS!E21),2,IF(SIGN(VALUE(LEFT(PRONÓSTICOS!J21,FIND("-",PRONÓSTICOS!J21)-1))-VALUE(MID(PRONÓSTICOS!J21,FIND("-",PRONÓSTICOS!J21)+1,10)))=SIGN(RESULTADOS!E21-RESULTADOS!F21),1,0))))</f>
        <v/>
      </c>
      <c r="K20" s="70">
        <f>IF(OR(RESULTADOS!E21="",RESULTADOS!E21=0,RESULTADOS!F21=""),"—",IF(AND(VALUE(LEFT(PRONÓSTICOS!K21,FIND("-",PRONÓSTICOS!K21)-1))=RESULTADOS!E21,VALUE(MID(PRONÓSTICOS!K21,FIND("-",PRONÓSTICOS!K21)+1,10))=RESULTADOS!F21),3,IF(AND(VALUE(LEFT(PRONÓSTICOS!K21,FIND("-",PRONÓSTICOS!K21)-1))-VALUE(MID(PRONÓSTICOS!K21,FIND("-",PRONÓSTICOS!K21)+1,10))=RESULTADOS!E21-RESULTADOS!F21,VALUE(LEFT(PRONÓSTICOS!K21,FIND("-",PRONÓSTICOS!K21)-1))&lt;&gt;RESULTADOS!E21),2,IF(SIGN(VALUE(LEFT(PRONÓSTICOS!K21,FIND("-",PRONÓSTICOS!K21)-1))-VALUE(MID(PRONÓSTICOS!K21,FIND("-",PRONÓSTICOS!K21)+1,10)))=SIGN(RESULTADOS!E21-RESULTADOS!F21),1,0))))</f>
        <v/>
      </c>
      <c r="L20" s="70">
        <f>IF(OR(RESULTADOS!E21="",RESULTADOS!E21=0,RESULTADOS!F21=""),"—",IF(AND(VALUE(LEFT(PRONÓSTICOS!L21,FIND("-",PRONÓSTICOS!L21)-1))=RESULTADOS!E21,VALUE(MID(PRONÓSTICOS!L21,FIND("-",PRONÓSTICOS!L21)+1,10))=RESULTADOS!F21),3,IF(AND(VALUE(LEFT(PRONÓSTICOS!L21,FIND("-",PRONÓSTICOS!L21)-1))-VALUE(MID(PRONÓSTICOS!L21,FIND("-",PRONÓSTICOS!L21)+1,10))=RESULTADOS!E21-RESULTADOS!F21,VALUE(LEFT(PRONÓSTICOS!L21,FIND("-",PRONÓSTICOS!L21)-1))&lt;&gt;RESULTADOS!E21),2,IF(SIGN(VALUE(LEFT(PRONÓSTICOS!L21,FIND("-",PRONÓSTICOS!L21)-1))-VALUE(MID(PRONÓSTICOS!L21,FIND("-",PRONÓSTICOS!L21)+1,10)))=SIGN(RESULTADOS!E21-RESULTADOS!F21),1,0))))</f>
        <v/>
      </c>
    </row>
    <row r="21">
      <c r="A21" s="12" t="n">
        <v>19</v>
      </c>
      <c r="B21" s="12" t="inlineStr">
        <is>
          <t>Alemania vs Países Bajos</t>
        </is>
      </c>
      <c r="C21" s="12">
        <f>IF(OR(RESULTADOS!E22="",RESULTADOS!E22=0,RESULTADOS!F22=""),"—",IF(AND(VALUE(LEFT(PRONÓSTICOS!C22,FIND("-",PRONÓSTICOS!C22)-1))=RESULTADOS!E22,VALUE(MID(PRONÓSTICOS!C22,FIND("-",PRONÓSTICOS!C22)+1,10))=RESULTADOS!F22),3,IF(AND(VALUE(LEFT(PRONÓSTICOS!C22,FIND("-",PRONÓSTICOS!C22)-1))-VALUE(MID(PRONÓSTICOS!C22,FIND("-",PRONÓSTICOS!C22)+1,10))=RESULTADOS!E22-RESULTADOS!F22,VALUE(LEFT(PRONÓSTICOS!C22,FIND("-",PRONÓSTICOS!C22)-1))&lt;&gt;RESULTADOS!E22),2,IF(SIGN(VALUE(LEFT(PRONÓSTICOS!C22,FIND("-",PRONÓSTICOS!C22)-1))-VALUE(MID(PRONÓSTICOS!C22,FIND("-",PRONÓSTICOS!C22)+1,10)))=SIGN(RESULTADOS!E22-RESULTADOS!F22),1,0))))</f>
        <v/>
      </c>
      <c r="D21" s="12">
        <f>IF(OR(RESULTADOS!E22="",RESULTADOS!E22=0,RESULTADOS!F22=""),"—",IF(AND(VALUE(LEFT(PRONÓSTICOS!D22,FIND("-",PRONÓSTICOS!D22)-1))=RESULTADOS!E22,VALUE(MID(PRONÓSTICOS!D22,FIND("-",PRONÓSTICOS!D22)+1,10))=RESULTADOS!F22),3,IF(AND(VALUE(LEFT(PRONÓSTICOS!D22,FIND("-",PRONÓSTICOS!D22)-1))-VALUE(MID(PRONÓSTICOS!D22,FIND("-",PRONÓSTICOS!D22)+1,10))=RESULTADOS!E22-RESULTADOS!F22,VALUE(LEFT(PRONÓSTICOS!D22,FIND("-",PRONÓSTICOS!D22)-1))&lt;&gt;RESULTADOS!E22),2,IF(SIGN(VALUE(LEFT(PRONÓSTICOS!D22,FIND("-",PRONÓSTICOS!D22)-1))-VALUE(MID(PRONÓSTICOS!D22,FIND("-",PRONÓSTICOS!D22)+1,10)))=SIGN(RESULTADOS!E22-RESULTADOS!F22),1,0))))</f>
        <v/>
      </c>
      <c r="E21" s="12">
        <f>IF(OR(RESULTADOS!E22="",RESULTADOS!E22=0,RESULTADOS!F22=""),"—",IF(AND(VALUE(LEFT(PRONÓSTICOS!E22,FIND("-",PRONÓSTICOS!E22)-1))=RESULTADOS!E22,VALUE(MID(PRONÓSTICOS!E22,FIND("-",PRONÓSTICOS!E22)+1,10))=RESULTADOS!F22),3,IF(AND(VALUE(LEFT(PRONÓSTICOS!E22,FIND("-",PRONÓSTICOS!E22)-1))-VALUE(MID(PRONÓSTICOS!E22,FIND("-",PRONÓSTICOS!E22)+1,10))=RESULTADOS!E22-RESULTADOS!F22,VALUE(LEFT(PRONÓSTICOS!E22,FIND("-",PRONÓSTICOS!E22)-1))&lt;&gt;RESULTADOS!E22),2,IF(SIGN(VALUE(LEFT(PRONÓSTICOS!E22,FIND("-",PRONÓSTICOS!E22)-1))-VALUE(MID(PRONÓSTICOS!E22,FIND("-",PRONÓSTICOS!E22)+1,10)))=SIGN(RESULTADOS!E22-RESULTADOS!F22),1,0))))</f>
        <v/>
      </c>
      <c r="F21" s="12">
        <f>IF(OR(RESULTADOS!E22="",RESULTADOS!E22=0,RESULTADOS!F22=""),"—",IF(AND(VALUE(LEFT(PRONÓSTICOS!F22,FIND("-",PRONÓSTICOS!F22)-1))=RESULTADOS!E22,VALUE(MID(PRONÓSTICOS!F22,FIND("-",PRONÓSTICOS!F22)+1,10))=RESULTADOS!F22),3,IF(AND(VALUE(LEFT(PRONÓSTICOS!F22,FIND("-",PRONÓSTICOS!F22)-1))-VALUE(MID(PRONÓSTICOS!F22,FIND("-",PRONÓSTICOS!F22)+1,10))=RESULTADOS!E22-RESULTADOS!F22,VALUE(LEFT(PRONÓSTICOS!F22,FIND("-",PRONÓSTICOS!F22)-1))&lt;&gt;RESULTADOS!E22),2,IF(SIGN(VALUE(LEFT(PRONÓSTICOS!F22,FIND("-",PRONÓSTICOS!F22)-1))-VALUE(MID(PRONÓSTICOS!F22,FIND("-",PRONÓSTICOS!F22)+1,10)))=SIGN(RESULTADOS!E22-RESULTADOS!F22),1,0))))</f>
        <v/>
      </c>
      <c r="G21" s="12">
        <f>IF(OR(RESULTADOS!E22="",RESULTADOS!E22=0,RESULTADOS!F22=""),"—",IF(AND(VALUE(LEFT(PRONÓSTICOS!G22,FIND("-",PRONÓSTICOS!G22)-1))=RESULTADOS!E22,VALUE(MID(PRONÓSTICOS!G22,FIND("-",PRONÓSTICOS!G22)+1,10))=RESULTADOS!F22),3,IF(AND(VALUE(LEFT(PRONÓSTICOS!G22,FIND("-",PRONÓSTICOS!G22)-1))-VALUE(MID(PRONÓSTICOS!G22,FIND("-",PRONÓSTICOS!G22)+1,10))=RESULTADOS!E22-RESULTADOS!F22,VALUE(LEFT(PRONÓSTICOS!G22,FIND("-",PRONÓSTICOS!G22)-1))&lt;&gt;RESULTADOS!E22),2,IF(SIGN(VALUE(LEFT(PRONÓSTICOS!G22,FIND("-",PRONÓSTICOS!G22)-1))-VALUE(MID(PRONÓSTICOS!G22,FIND("-",PRONÓSTICOS!G22)+1,10)))=SIGN(RESULTADOS!E22-RESULTADOS!F22),1,0))))</f>
        <v/>
      </c>
      <c r="H21" s="12">
        <f>IF(OR(RESULTADOS!E22="",RESULTADOS!E22=0,RESULTADOS!F22=""),"—",IF(AND(VALUE(LEFT(PRONÓSTICOS!H22,FIND("-",PRONÓSTICOS!H22)-1))=RESULTADOS!E22,VALUE(MID(PRONÓSTICOS!H22,FIND("-",PRONÓSTICOS!H22)+1,10))=RESULTADOS!F22),3,IF(AND(VALUE(LEFT(PRONÓSTICOS!H22,FIND("-",PRONÓSTICOS!H22)-1))-VALUE(MID(PRONÓSTICOS!H22,FIND("-",PRONÓSTICOS!H22)+1,10))=RESULTADOS!E22-RESULTADOS!F22,VALUE(LEFT(PRONÓSTICOS!H22,FIND("-",PRONÓSTICOS!H22)-1))&lt;&gt;RESULTADOS!E22),2,IF(SIGN(VALUE(LEFT(PRONÓSTICOS!H22,FIND("-",PRONÓSTICOS!H22)-1))-VALUE(MID(PRONÓSTICOS!H22,FIND("-",PRONÓSTICOS!H22)+1,10)))=SIGN(RESULTADOS!E22-RESULTADOS!F22),1,0))))</f>
        <v/>
      </c>
      <c r="I21" s="12">
        <f>IF(OR(RESULTADOS!E22="",RESULTADOS!E22=0,RESULTADOS!F22=""),"—",IF(AND(VALUE(LEFT(PRONÓSTICOS!I22,FIND("-",PRONÓSTICOS!I22)-1))=RESULTADOS!E22,VALUE(MID(PRONÓSTICOS!I22,FIND("-",PRONÓSTICOS!I22)+1,10))=RESULTADOS!F22),3,IF(AND(VALUE(LEFT(PRONÓSTICOS!I22,FIND("-",PRONÓSTICOS!I22)-1))-VALUE(MID(PRONÓSTICOS!I22,FIND("-",PRONÓSTICOS!I22)+1,10))=RESULTADOS!E22-RESULTADOS!F22,VALUE(LEFT(PRONÓSTICOS!I22,FIND("-",PRONÓSTICOS!I22)-1))&lt;&gt;RESULTADOS!E22),2,IF(SIGN(VALUE(LEFT(PRONÓSTICOS!I22,FIND("-",PRONÓSTICOS!I22)-1))-VALUE(MID(PRONÓSTICOS!I22,FIND("-",PRONÓSTICOS!I22)+1,10)))=SIGN(RESULTADOS!E22-RESULTADOS!F22),1,0))))</f>
        <v/>
      </c>
      <c r="J21" s="12">
        <f>IF(OR(RESULTADOS!E22="",RESULTADOS!E22=0,RESULTADOS!F22=""),"—",IF(AND(VALUE(LEFT(PRONÓSTICOS!J22,FIND("-",PRONÓSTICOS!J22)-1))=RESULTADOS!E22,VALUE(MID(PRONÓSTICOS!J22,FIND("-",PRONÓSTICOS!J22)+1,10))=RESULTADOS!F22),3,IF(AND(VALUE(LEFT(PRONÓSTICOS!J22,FIND("-",PRONÓSTICOS!J22)-1))-VALUE(MID(PRONÓSTICOS!J22,FIND("-",PRONÓSTICOS!J22)+1,10))=RESULTADOS!E22-RESULTADOS!F22,VALUE(LEFT(PRONÓSTICOS!J22,FIND("-",PRONÓSTICOS!J22)-1))&lt;&gt;RESULTADOS!E22),2,IF(SIGN(VALUE(LEFT(PRONÓSTICOS!J22,FIND("-",PRONÓSTICOS!J22)-1))-VALUE(MID(PRONÓSTICOS!J22,FIND("-",PRONÓSTICOS!J22)+1,10)))=SIGN(RESULTADOS!E22-RESULTADOS!F22),1,0))))</f>
        <v/>
      </c>
      <c r="K21" s="12">
        <f>IF(OR(RESULTADOS!E22="",RESULTADOS!E22=0,RESULTADOS!F22=""),"—",IF(AND(VALUE(LEFT(PRONÓSTICOS!K22,FIND("-",PRONÓSTICOS!K22)-1))=RESULTADOS!E22,VALUE(MID(PRONÓSTICOS!K22,FIND("-",PRONÓSTICOS!K22)+1,10))=RESULTADOS!F22),3,IF(AND(VALUE(LEFT(PRONÓSTICOS!K22,FIND("-",PRONÓSTICOS!K22)-1))-VALUE(MID(PRONÓSTICOS!K22,FIND("-",PRONÓSTICOS!K22)+1,10))=RESULTADOS!E22-RESULTADOS!F22,VALUE(LEFT(PRONÓSTICOS!K22,FIND("-",PRONÓSTICOS!K22)-1))&lt;&gt;RESULTADOS!E22),2,IF(SIGN(VALUE(LEFT(PRONÓSTICOS!K22,FIND("-",PRONÓSTICOS!K22)-1))-VALUE(MID(PRONÓSTICOS!K22,FIND("-",PRONÓSTICOS!K22)+1,10)))=SIGN(RESULTADOS!E22-RESULTADOS!F22),1,0))))</f>
        <v/>
      </c>
      <c r="L21" s="12">
        <f>IF(OR(RESULTADOS!E22="",RESULTADOS!E22=0,RESULTADOS!F22=""),"—",IF(AND(VALUE(LEFT(PRONÓSTICOS!L22,FIND("-",PRONÓSTICOS!L22)-1))=RESULTADOS!E22,VALUE(MID(PRONÓSTICOS!L22,FIND("-",PRONÓSTICOS!L22)+1,10))=RESULTADOS!F22),3,IF(AND(VALUE(LEFT(PRONÓSTICOS!L22,FIND("-",PRONÓSTICOS!L22)-1))-VALUE(MID(PRONÓSTICOS!L22,FIND("-",PRONÓSTICOS!L22)+1,10))=RESULTADOS!E22-RESULTADOS!F22,VALUE(LEFT(PRONÓSTICOS!L22,FIND("-",PRONÓSTICOS!L22)-1))&lt;&gt;RESULTADOS!E22),2,IF(SIGN(VALUE(LEFT(PRONÓSTICOS!L22,FIND("-",PRONÓSTICOS!L22)-1))-VALUE(MID(PRONÓSTICOS!L22,FIND("-",PRONÓSTICOS!L22)+1,10)))=SIGN(RESULTADOS!E22-RESULTADOS!F22),1,0))))</f>
        <v/>
      </c>
    </row>
    <row r="22">
      <c r="A22" s="70" t="n">
        <v>20</v>
      </c>
      <c r="B22" s="70" t="inlineStr">
        <is>
          <t>Hungría vs Alemania</t>
        </is>
      </c>
      <c r="C22" s="70">
        <f>IF(OR(RESULTADOS!E23="",RESULTADOS!E23=0,RESULTADOS!F23=""),"—",IF(AND(VALUE(LEFT(PRONÓSTICOS!C23,FIND("-",PRONÓSTICOS!C23)-1))=RESULTADOS!E23,VALUE(MID(PRONÓSTICOS!C23,FIND("-",PRONÓSTICOS!C23)+1,10))=RESULTADOS!F23),3,IF(AND(VALUE(LEFT(PRONÓSTICOS!C23,FIND("-",PRONÓSTICOS!C23)-1))-VALUE(MID(PRONÓSTICOS!C23,FIND("-",PRONÓSTICOS!C23)+1,10))=RESULTADOS!E23-RESULTADOS!F23,VALUE(LEFT(PRONÓSTICOS!C23,FIND("-",PRONÓSTICOS!C23)-1))&lt;&gt;RESULTADOS!E23),2,IF(SIGN(VALUE(LEFT(PRONÓSTICOS!C23,FIND("-",PRONÓSTICOS!C23)-1))-VALUE(MID(PRONÓSTICOS!C23,FIND("-",PRONÓSTICOS!C23)+1,10)))=SIGN(RESULTADOS!E23-RESULTADOS!F23),1,0))))</f>
        <v/>
      </c>
      <c r="D22" s="70">
        <f>IF(OR(RESULTADOS!E23="",RESULTADOS!E23=0,RESULTADOS!F23=""),"—",IF(AND(VALUE(LEFT(PRONÓSTICOS!D23,FIND("-",PRONÓSTICOS!D23)-1))=RESULTADOS!E23,VALUE(MID(PRONÓSTICOS!D23,FIND("-",PRONÓSTICOS!D23)+1,10))=RESULTADOS!F23),3,IF(AND(VALUE(LEFT(PRONÓSTICOS!D23,FIND("-",PRONÓSTICOS!D23)-1))-VALUE(MID(PRONÓSTICOS!D23,FIND("-",PRONÓSTICOS!D23)+1,10))=RESULTADOS!E23-RESULTADOS!F23,VALUE(LEFT(PRONÓSTICOS!D23,FIND("-",PRONÓSTICOS!D23)-1))&lt;&gt;RESULTADOS!E23),2,IF(SIGN(VALUE(LEFT(PRONÓSTICOS!D23,FIND("-",PRONÓSTICOS!D23)-1))-VALUE(MID(PRONÓSTICOS!D23,FIND("-",PRONÓSTICOS!D23)+1,10)))=SIGN(RESULTADOS!E23-RESULTADOS!F23),1,0))))</f>
        <v/>
      </c>
      <c r="E22" s="70">
        <f>IF(OR(RESULTADOS!E23="",RESULTADOS!E23=0,RESULTADOS!F23=""),"—",IF(AND(VALUE(LEFT(PRONÓSTICOS!E23,FIND("-",PRONÓSTICOS!E23)-1))=RESULTADOS!E23,VALUE(MID(PRONÓSTICOS!E23,FIND("-",PRONÓSTICOS!E23)+1,10))=RESULTADOS!F23),3,IF(AND(VALUE(LEFT(PRONÓSTICOS!E23,FIND("-",PRONÓSTICOS!E23)-1))-VALUE(MID(PRONÓSTICOS!E23,FIND("-",PRONÓSTICOS!E23)+1,10))=RESULTADOS!E23-RESULTADOS!F23,VALUE(LEFT(PRONÓSTICOS!E23,FIND("-",PRONÓSTICOS!E23)-1))&lt;&gt;RESULTADOS!E23),2,IF(SIGN(VALUE(LEFT(PRONÓSTICOS!E23,FIND("-",PRONÓSTICOS!E23)-1))-VALUE(MID(PRONÓSTICOS!E23,FIND("-",PRONÓSTICOS!E23)+1,10)))=SIGN(RESULTADOS!E23-RESULTADOS!F23),1,0))))</f>
        <v/>
      </c>
      <c r="F22" s="70">
        <f>IF(OR(RESULTADOS!E23="",RESULTADOS!E23=0,RESULTADOS!F23=""),"—",IF(AND(VALUE(LEFT(PRONÓSTICOS!F23,FIND("-",PRONÓSTICOS!F23)-1))=RESULTADOS!E23,VALUE(MID(PRONÓSTICOS!F23,FIND("-",PRONÓSTICOS!F23)+1,10))=RESULTADOS!F23),3,IF(AND(VALUE(LEFT(PRONÓSTICOS!F23,FIND("-",PRONÓSTICOS!F23)-1))-VALUE(MID(PRONÓSTICOS!F23,FIND("-",PRONÓSTICOS!F23)+1,10))=RESULTADOS!E23-RESULTADOS!F23,VALUE(LEFT(PRONÓSTICOS!F23,FIND("-",PRONÓSTICOS!F23)-1))&lt;&gt;RESULTADOS!E23),2,IF(SIGN(VALUE(LEFT(PRONÓSTICOS!F23,FIND("-",PRONÓSTICOS!F23)-1))-VALUE(MID(PRONÓSTICOS!F23,FIND("-",PRONÓSTICOS!F23)+1,10)))=SIGN(RESULTADOS!E23-RESULTADOS!F23),1,0))))</f>
        <v/>
      </c>
      <c r="G22" s="70">
        <f>IF(OR(RESULTADOS!E23="",RESULTADOS!E23=0,RESULTADOS!F23=""),"—",IF(AND(VALUE(LEFT(PRONÓSTICOS!G23,FIND("-",PRONÓSTICOS!G23)-1))=RESULTADOS!E23,VALUE(MID(PRONÓSTICOS!G23,FIND("-",PRONÓSTICOS!G23)+1,10))=RESULTADOS!F23),3,IF(AND(VALUE(LEFT(PRONÓSTICOS!G23,FIND("-",PRONÓSTICOS!G23)-1))-VALUE(MID(PRONÓSTICOS!G23,FIND("-",PRONÓSTICOS!G23)+1,10))=RESULTADOS!E23-RESULTADOS!F23,VALUE(LEFT(PRONÓSTICOS!G23,FIND("-",PRONÓSTICOS!G23)-1))&lt;&gt;RESULTADOS!E23),2,IF(SIGN(VALUE(LEFT(PRONÓSTICOS!G23,FIND("-",PRONÓSTICOS!G23)-1))-VALUE(MID(PRONÓSTICOS!G23,FIND("-",PRONÓSTICOS!G23)+1,10)))=SIGN(RESULTADOS!E23-RESULTADOS!F23),1,0))))</f>
        <v/>
      </c>
      <c r="H22" s="70">
        <f>IF(OR(RESULTADOS!E23="",RESULTADOS!E23=0,RESULTADOS!F23=""),"—",IF(AND(VALUE(LEFT(PRONÓSTICOS!H23,FIND("-",PRONÓSTICOS!H23)-1))=RESULTADOS!E23,VALUE(MID(PRONÓSTICOS!H23,FIND("-",PRONÓSTICOS!H23)+1,10))=RESULTADOS!F23),3,IF(AND(VALUE(LEFT(PRONÓSTICOS!H23,FIND("-",PRONÓSTICOS!H23)-1))-VALUE(MID(PRONÓSTICOS!H23,FIND("-",PRONÓSTICOS!H23)+1,10))=RESULTADOS!E23-RESULTADOS!F23,VALUE(LEFT(PRONÓSTICOS!H23,FIND("-",PRONÓSTICOS!H23)-1))&lt;&gt;RESULTADOS!E23),2,IF(SIGN(VALUE(LEFT(PRONÓSTICOS!H23,FIND("-",PRONÓSTICOS!H23)-1))-VALUE(MID(PRONÓSTICOS!H23,FIND("-",PRONÓSTICOS!H23)+1,10)))=SIGN(RESULTADOS!E23-RESULTADOS!F23),1,0))))</f>
        <v/>
      </c>
      <c r="I22" s="70">
        <f>IF(OR(RESULTADOS!E23="",RESULTADOS!E23=0,RESULTADOS!F23=""),"—",IF(AND(VALUE(LEFT(PRONÓSTICOS!I23,FIND("-",PRONÓSTICOS!I23)-1))=RESULTADOS!E23,VALUE(MID(PRONÓSTICOS!I23,FIND("-",PRONÓSTICOS!I23)+1,10))=RESULTADOS!F23),3,IF(AND(VALUE(LEFT(PRONÓSTICOS!I23,FIND("-",PRONÓSTICOS!I23)-1))-VALUE(MID(PRONÓSTICOS!I23,FIND("-",PRONÓSTICOS!I23)+1,10))=RESULTADOS!E23-RESULTADOS!F23,VALUE(LEFT(PRONÓSTICOS!I23,FIND("-",PRONÓSTICOS!I23)-1))&lt;&gt;RESULTADOS!E23),2,IF(SIGN(VALUE(LEFT(PRONÓSTICOS!I23,FIND("-",PRONÓSTICOS!I23)-1))-VALUE(MID(PRONÓSTICOS!I23,FIND("-",PRONÓSTICOS!I23)+1,10)))=SIGN(RESULTADOS!E23-RESULTADOS!F23),1,0))))</f>
        <v/>
      </c>
      <c r="J22" s="70">
        <f>IF(OR(RESULTADOS!E23="",RESULTADOS!E23=0,RESULTADOS!F23=""),"—",IF(AND(VALUE(LEFT(PRONÓSTICOS!J23,FIND("-",PRONÓSTICOS!J23)-1))=RESULTADOS!E23,VALUE(MID(PRONÓSTICOS!J23,FIND("-",PRONÓSTICOS!J23)+1,10))=RESULTADOS!F23),3,IF(AND(VALUE(LEFT(PRONÓSTICOS!J23,FIND("-",PRONÓSTICOS!J23)-1))-VALUE(MID(PRONÓSTICOS!J23,FIND("-",PRONÓSTICOS!J23)+1,10))=RESULTADOS!E23-RESULTADOS!F23,VALUE(LEFT(PRONÓSTICOS!J23,FIND("-",PRONÓSTICOS!J23)-1))&lt;&gt;RESULTADOS!E23),2,IF(SIGN(VALUE(LEFT(PRONÓSTICOS!J23,FIND("-",PRONÓSTICOS!J23)-1))-VALUE(MID(PRONÓSTICOS!J23,FIND("-",PRONÓSTICOS!J23)+1,10)))=SIGN(RESULTADOS!E23-RESULTADOS!F23),1,0))))</f>
        <v/>
      </c>
      <c r="K22" s="70">
        <f>IF(OR(RESULTADOS!E23="",RESULTADOS!E23=0,RESULTADOS!F23=""),"—",IF(AND(VALUE(LEFT(PRONÓSTICOS!K23,FIND("-",PRONÓSTICOS!K23)-1))=RESULTADOS!E23,VALUE(MID(PRONÓSTICOS!K23,FIND("-",PRONÓSTICOS!K23)+1,10))=RESULTADOS!F23),3,IF(AND(VALUE(LEFT(PRONÓSTICOS!K23,FIND("-",PRONÓSTICOS!K23)-1))-VALUE(MID(PRONÓSTICOS!K23,FIND("-",PRONÓSTICOS!K23)+1,10))=RESULTADOS!E23-RESULTADOS!F23,VALUE(LEFT(PRONÓSTICOS!K23,FIND("-",PRONÓSTICOS!K23)-1))&lt;&gt;RESULTADOS!E23),2,IF(SIGN(VALUE(LEFT(PRONÓSTICOS!K23,FIND("-",PRONÓSTICOS!K23)-1))-VALUE(MID(PRONÓSTICOS!K23,FIND("-",PRONÓSTICOS!K23)+1,10)))=SIGN(RESULTADOS!E23-RESULTADOS!F23),1,0))))</f>
        <v/>
      </c>
      <c r="L22" s="70">
        <f>IF(OR(RESULTADOS!E23="",RESULTADOS!E23=0,RESULTADOS!F23=""),"—",IF(AND(VALUE(LEFT(PRONÓSTICOS!L23,FIND("-",PRONÓSTICOS!L23)-1))=RESULTADOS!E23,VALUE(MID(PRONÓSTICOS!L23,FIND("-",PRONÓSTICOS!L23)+1,10))=RESULTADOS!F23),3,IF(AND(VALUE(LEFT(PRONÓSTICOS!L23,FIND("-",PRONÓSTICOS!L23)-1))-VALUE(MID(PRONÓSTICOS!L23,FIND("-",PRONÓSTICOS!L23)+1,10))=RESULTADOS!E23-RESULTADOS!F23,VALUE(LEFT(PRONÓSTICOS!L23,FIND("-",PRONÓSTICOS!L23)-1))&lt;&gt;RESULTADOS!E23),2,IF(SIGN(VALUE(LEFT(PRONÓSTICOS!L23,FIND("-",PRONÓSTICOS!L23)-1))-VALUE(MID(PRONÓSTICOS!L23,FIND("-",PRONÓSTICOS!L23)+1,10)))=SIGN(RESULTADOS!E23-RESULTADOS!F23),1,0))))</f>
        <v/>
      </c>
    </row>
    <row r="23">
      <c r="A23" s="12" t="n">
        <v>21</v>
      </c>
      <c r="B23" s="12" t="inlineStr">
        <is>
          <t>Países Bajos vs Hungría</t>
        </is>
      </c>
      <c r="C23" s="12">
        <f>IF(OR(RESULTADOS!E24="",RESULTADOS!E24=0,RESULTADOS!F24=""),"—",IF(AND(VALUE(LEFT(PRONÓSTICOS!C24,FIND("-",PRONÓSTICOS!C24)-1))=RESULTADOS!E24,VALUE(MID(PRONÓSTICOS!C24,FIND("-",PRONÓSTICOS!C24)+1,10))=RESULTADOS!F24),3,IF(AND(VALUE(LEFT(PRONÓSTICOS!C24,FIND("-",PRONÓSTICOS!C24)-1))-VALUE(MID(PRONÓSTICOS!C24,FIND("-",PRONÓSTICOS!C24)+1,10))=RESULTADOS!E24-RESULTADOS!F24,VALUE(LEFT(PRONÓSTICOS!C24,FIND("-",PRONÓSTICOS!C24)-1))&lt;&gt;RESULTADOS!E24),2,IF(SIGN(VALUE(LEFT(PRONÓSTICOS!C24,FIND("-",PRONÓSTICOS!C24)-1))-VALUE(MID(PRONÓSTICOS!C24,FIND("-",PRONÓSTICOS!C24)+1,10)))=SIGN(RESULTADOS!E24-RESULTADOS!F24),1,0))))</f>
        <v/>
      </c>
      <c r="D23" s="12">
        <f>IF(OR(RESULTADOS!E24="",RESULTADOS!E24=0,RESULTADOS!F24=""),"—",IF(AND(VALUE(LEFT(PRONÓSTICOS!D24,FIND("-",PRONÓSTICOS!D24)-1))=RESULTADOS!E24,VALUE(MID(PRONÓSTICOS!D24,FIND("-",PRONÓSTICOS!D24)+1,10))=RESULTADOS!F24),3,IF(AND(VALUE(LEFT(PRONÓSTICOS!D24,FIND("-",PRONÓSTICOS!D24)-1))-VALUE(MID(PRONÓSTICOS!D24,FIND("-",PRONÓSTICOS!D24)+1,10))=RESULTADOS!E24-RESULTADOS!F24,VALUE(LEFT(PRONÓSTICOS!D24,FIND("-",PRONÓSTICOS!D24)-1))&lt;&gt;RESULTADOS!E24),2,IF(SIGN(VALUE(LEFT(PRONÓSTICOS!D24,FIND("-",PRONÓSTICOS!D24)-1))-VALUE(MID(PRONÓSTICOS!D24,FIND("-",PRONÓSTICOS!D24)+1,10)))=SIGN(RESULTADOS!E24-RESULTADOS!F24),1,0))))</f>
        <v/>
      </c>
      <c r="E23" s="12">
        <f>IF(OR(RESULTADOS!E24="",RESULTADOS!E24=0,RESULTADOS!F24=""),"—",IF(AND(VALUE(LEFT(PRONÓSTICOS!E24,FIND("-",PRONÓSTICOS!E24)-1))=RESULTADOS!E24,VALUE(MID(PRONÓSTICOS!E24,FIND("-",PRONÓSTICOS!E24)+1,10))=RESULTADOS!F24),3,IF(AND(VALUE(LEFT(PRONÓSTICOS!E24,FIND("-",PRONÓSTICOS!E24)-1))-VALUE(MID(PRONÓSTICOS!E24,FIND("-",PRONÓSTICOS!E24)+1,10))=RESULTADOS!E24-RESULTADOS!F24,VALUE(LEFT(PRONÓSTICOS!E24,FIND("-",PRONÓSTICOS!E24)-1))&lt;&gt;RESULTADOS!E24),2,IF(SIGN(VALUE(LEFT(PRONÓSTICOS!E24,FIND("-",PRONÓSTICOS!E24)-1))-VALUE(MID(PRONÓSTICOS!E24,FIND("-",PRONÓSTICOS!E24)+1,10)))=SIGN(RESULTADOS!E24-RESULTADOS!F24),1,0))))</f>
        <v/>
      </c>
      <c r="F23" s="12">
        <f>IF(OR(RESULTADOS!E24="",RESULTADOS!E24=0,RESULTADOS!F24=""),"—",IF(AND(VALUE(LEFT(PRONÓSTICOS!F24,FIND("-",PRONÓSTICOS!F24)-1))=RESULTADOS!E24,VALUE(MID(PRONÓSTICOS!F24,FIND("-",PRONÓSTICOS!F24)+1,10))=RESULTADOS!F24),3,IF(AND(VALUE(LEFT(PRONÓSTICOS!F24,FIND("-",PRONÓSTICOS!F24)-1))-VALUE(MID(PRONÓSTICOS!F24,FIND("-",PRONÓSTICOS!F24)+1,10))=RESULTADOS!E24-RESULTADOS!F24,VALUE(LEFT(PRONÓSTICOS!F24,FIND("-",PRONÓSTICOS!F24)-1))&lt;&gt;RESULTADOS!E24),2,IF(SIGN(VALUE(LEFT(PRONÓSTICOS!F24,FIND("-",PRONÓSTICOS!F24)-1))-VALUE(MID(PRONÓSTICOS!F24,FIND("-",PRONÓSTICOS!F24)+1,10)))=SIGN(RESULTADOS!E24-RESULTADOS!F24),1,0))))</f>
        <v/>
      </c>
      <c r="G23" s="12">
        <f>IF(OR(RESULTADOS!E24="",RESULTADOS!E24=0,RESULTADOS!F24=""),"—",IF(AND(VALUE(LEFT(PRONÓSTICOS!G24,FIND("-",PRONÓSTICOS!G24)-1))=RESULTADOS!E24,VALUE(MID(PRONÓSTICOS!G24,FIND("-",PRONÓSTICOS!G24)+1,10))=RESULTADOS!F24),3,IF(AND(VALUE(LEFT(PRONÓSTICOS!G24,FIND("-",PRONÓSTICOS!G24)-1))-VALUE(MID(PRONÓSTICOS!G24,FIND("-",PRONÓSTICOS!G24)+1,10))=RESULTADOS!E24-RESULTADOS!F24,VALUE(LEFT(PRONÓSTICOS!G24,FIND("-",PRONÓSTICOS!G24)-1))&lt;&gt;RESULTADOS!E24),2,IF(SIGN(VALUE(LEFT(PRONÓSTICOS!G24,FIND("-",PRONÓSTICOS!G24)-1))-VALUE(MID(PRONÓSTICOS!G24,FIND("-",PRONÓSTICOS!G24)+1,10)))=SIGN(RESULTADOS!E24-RESULTADOS!F24),1,0))))</f>
        <v/>
      </c>
      <c r="H23" s="12">
        <f>IF(OR(RESULTADOS!E24="",RESULTADOS!E24=0,RESULTADOS!F24=""),"—",IF(AND(VALUE(LEFT(PRONÓSTICOS!H24,FIND("-",PRONÓSTICOS!H24)-1))=RESULTADOS!E24,VALUE(MID(PRONÓSTICOS!H24,FIND("-",PRONÓSTICOS!H24)+1,10))=RESULTADOS!F24),3,IF(AND(VALUE(LEFT(PRONÓSTICOS!H24,FIND("-",PRONÓSTICOS!H24)-1))-VALUE(MID(PRONÓSTICOS!H24,FIND("-",PRONÓSTICOS!H24)+1,10))=RESULTADOS!E24-RESULTADOS!F24,VALUE(LEFT(PRONÓSTICOS!H24,FIND("-",PRONÓSTICOS!H24)-1))&lt;&gt;RESULTADOS!E24),2,IF(SIGN(VALUE(LEFT(PRONÓSTICOS!H24,FIND("-",PRONÓSTICOS!H24)-1))-VALUE(MID(PRONÓSTICOS!H24,FIND("-",PRONÓSTICOS!H24)+1,10)))=SIGN(RESULTADOS!E24-RESULTADOS!F24),1,0))))</f>
        <v/>
      </c>
      <c r="I23" s="12">
        <f>IF(OR(RESULTADOS!E24="",RESULTADOS!E24=0,RESULTADOS!F24=""),"—",IF(AND(VALUE(LEFT(PRONÓSTICOS!I24,FIND("-",PRONÓSTICOS!I24)-1))=RESULTADOS!E24,VALUE(MID(PRONÓSTICOS!I24,FIND("-",PRONÓSTICOS!I24)+1,10))=RESULTADOS!F24),3,IF(AND(VALUE(LEFT(PRONÓSTICOS!I24,FIND("-",PRONÓSTICOS!I24)-1))-VALUE(MID(PRONÓSTICOS!I24,FIND("-",PRONÓSTICOS!I24)+1,10))=RESULTADOS!E24-RESULTADOS!F24,VALUE(LEFT(PRONÓSTICOS!I24,FIND("-",PRONÓSTICOS!I24)-1))&lt;&gt;RESULTADOS!E24),2,IF(SIGN(VALUE(LEFT(PRONÓSTICOS!I24,FIND("-",PRONÓSTICOS!I24)-1))-VALUE(MID(PRONÓSTICOS!I24,FIND("-",PRONÓSTICOS!I24)+1,10)))=SIGN(RESULTADOS!E24-RESULTADOS!F24),1,0))))</f>
        <v/>
      </c>
      <c r="J23" s="12">
        <f>IF(OR(RESULTADOS!E24="",RESULTADOS!E24=0,RESULTADOS!F24=""),"—",IF(AND(VALUE(LEFT(PRONÓSTICOS!J24,FIND("-",PRONÓSTICOS!J24)-1))=RESULTADOS!E24,VALUE(MID(PRONÓSTICOS!J24,FIND("-",PRONÓSTICOS!J24)+1,10))=RESULTADOS!F24),3,IF(AND(VALUE(LEFT(PRONÓSTICOS!J24,FIND("-",PRONÓSTICOS!J24)-1))-VALUE(MID(PRONÓSTICOS!J24,FIND("-",PRONÓSTICOS!J24)+1,10))=RESULTADOS!E24-RESULTADOS!F24,VALUE(LEFT(PRONÓSTICOS!J24,FIND("-",PRONÓSTICOS!J24)-1))&lt;&gt;RESULTADOS!E24),2,IF(SIGN(VALUE(LEFT(PRONÓSTICOS!J24,FIND("-",PRONÓSTICOS!J24)-1))-VALUE(MID(PRONÓSTICOS!J24,FIND("-",PRONÓSTICOS!J24)+1,10)))=SIGN(RESULTADOS!E24-RESULTADOS!F24),1,0))))</f>
        <v/>
      </c>
      <c r="K23" s="12">
        <f>IF(OR(RESULTADOS!E24="",RESULTADOS!E24=0,RESULTADOS!F24=""),"—",IF(AND(VALUE(LEFT(PRONÓSTICOS!K24,FIND("-",PRONÓSTICOS!K24)-1))=RESULTADOS!E24,VALUE(MID(PRONÓSTICOS!K24,FIND("-",PRONÓSTICOS!K24)+1,10))=RESULTADOS!F24),3,IF(AND(VALUE(LEFT(PRONÓSTICOS!K24,FIND("-",PRONÓSTICOS!K24)-1))-VALUE(MID(PRONÓSTICOS!K24,FIND("-",PRONÓSTICOS!K24)+1,10))=RESULTADOS!E24-RESULTADOS!F24,VALUE(LEFT(PRONÓSTICOS!K24,FIND("-",PRONÓSTICOS!K24)-1))&lt;&gt;RESULTADOS!E24),2,IF(SIGN(VALUE(LEFT(PRONÓSTICOS!K24,FIND("-",PRONÓSTICOS!K24)-1))-VALUE(MID(PRONÓSTICOS!K24,FIND("-",PRONÓSTICOS!K24)+1,10)))=SIGN(RESULTADOS!E24-RESULTADOS!F24),1,0))))</f>
        <v/>
      </c>
      <c r="L23" s="12">
        <f>IF(OR(RESULTADOS!E24="",RESULTADOS!E24=0,RESULTADOS!F24=""),"—",IF(AND(VALUE(LEFT(PRONÓSTICOS!L24,FIND("-",PRONÓSTICOS!L24)-1))=RESULTADOS!E24,VALUE(MID(PRONÓSTICOS!L24,FIND("-",PRONÓSTICOS!L24)+1,10))=RESULTADOS!F24),3,IF(AND(VALUE(LEFT(PRONÓSTICOS!L24,FIND("-",PRONÓSTICOS!L24)-1))-VALUE(MID(PRONÓSTICOS!L24,FIND("-",PRONÓSTICOS!L24)+1,10))=RESULTADOS!E24-RESULTADOS!F24,VALUE(LEFT(PRONÓSTICOS!L24,FIND("-",PRONÓSTICOS!L24)-1))&lt;&gt;RESULTADOS!E24),2,IF(SIGN(VALUE(LEFT(PRONÓSTICOS!L24,FIND("-",PRONÓSTICOS!L24)-1))-VALUE(MID(PRONÓSTICOS!L24,FIND("-",PRONÓSTICOS!L24)+1,10)))=SIGN(RESULTADOS!E24-RESULTADOS!F24),1,0))))</f>
        <v/>
      </c>
    </row>
    <row r="24">
      <c r="A24" s="70" t="n">
        <v>22</v>
      </c>
      <c r="B24" s="70" t="inlineStr">
        <is>
          <t>Inglaterra vs Eslovaquia</t>
        </is>
      </c>
      <c r="C24" s="70">
        <f>IF(OR(RESULTADOS!E25="",RESULTADOS!E25=0,RESULTADOS!F25=""),"—",IF(AND(VALUE(LEFT(PRONÓSTICOS!C25,FIND("-",PRONÓSTICOS!C25)-1))=RESULTADOS!E25,VALUE(MID(PRONÓSTICOS!C25,FIND("-",PRONÓSTICOS!C25)+1,10))=RESULTADOS!F25),3,IF(AND(VALUE(LEFT(PRONÓSTICOS!C25,FIND("-",PRONÓSTICOS!C25)-1))-VALUE(MID(PRONÓSTICOS!C25,FIND("-",PRONÓSTICOS!C25)+1,10))=RESULTADOS!E25-RESULTADOS!F25,VALUE(LEFT(PRONÓSTICOS!C25,FIND("-",PRONÓSTICOS!C25)-1))&lt;&gt;RESULTADOS!E25),2,IF(SIGN(VALUE(LEFT(PRONÓSTICOS!C25,FIND("-",PRONÓSTICOS!C25)-1))-VALUE(MID(PRONÓSTICOS!C25,FIND("-",PRONÓSTICOS!C25)+1,10)))=SIGN(RESULTADOS!E25-RESULTADOS!F25),1,0))))</f>
        <v/>
      </c>
      <c r="D24" s="70">
        <f>IF(OR(RESULTADOS!E25="",RESULTADOS!E25=0,RESULTADOS!F25=""),"—",IF(AND(VALUE(LEFT(PRONÓSTICOS!D25,FIND("-",PRONÓSTICOS!D25)-1))=RESULTADOS!E25,VALUE(MID(PRONÓSTICOS!D25,FIND("-",PRONÓSTICOS!D25)+1,10))=RESULTADOS!F25),3,IF(AND(VALUE(LEFT(PRONÓSTICOS!D25,FIND("-",PRONÓSTICOS!D25)-1))-VALUE(MID(PRONÓSTICOS!D25,FIND("-",PRONÓSTICOS!D25)+1,10))=RESULTADOS!E25-RESULTADOS!F25,VALUE(LEFT(PRONÓSTICOS!D25,FIND("-",PRONÓSTICOS!D25)-1))&lt;&gt;RESULTADOS!E25),2,IF(SIGN(VALUE(LEFT(PRONÓSTICOS!D25,FIND("-",PRONÓSTICOS!D25)-1))-VALUE(MID(PRONÓSTICOS!D25,FIND("-",PRONÓSTICOS!D25)+1,10)))=SIGN(RESULTADOS!E25-RESULTADOS!F25),1,0))))</f>
        <v/>
      </c>
      <c r="E24" s="70">
        <f>IF(OR(RESULTADOS!E25="",RESULTADOS!E25=0,RESULTADOS!F25=""),"—",IF(AND(VALUE(LEFT(PRONÓSTICOS!E25,FIND("-",PRONÓSTICOS!E25)-1))=RESULTADOS!E25,VALUE(MID(PRONÓSTICOS!E25,FIND("-",PRONÓSTICOS!E25)+1,10))=RESULTADOS!F25),3,IF(AND(VALUE(LEFT(PRONÓSTICOS!E25,FIND("-",PRONÓSTICOS!E25)-1))-VALUE(MID(PRONÓSTICOS!E25,FIND("-",PRONÓSTICOS!E25)+1,10))=RESULTADOS!E25-RESULTADOS!F25,VALUE(LEFT(PRONÓSTICOS!E25,FIND("-",PRONÓSTICOS!E25)-1))&lt;&gt;RESULTADOS!E25),2,IF(SIGN(VALUE(LEFT(PRONÓSTICOS!E25,FIND("-",PRONÓSTICOS!E25)-1))-VALUE(MID(PRONÓSTICOS!E25,FIND("-",PRONÓSTICOS!E25)+1,10)))=SIGN(RESULTADOS!E25-RESULTADOS!F25),1,0))))</f>
        <v/>
      </c>
      <c r="F24" s="70">
        <f>IF(OR(RESULTADOS!E25="",RESULTADOS!E25=0,RESULTADOS!F25=""),"—",IF(AND(VALUE(LEFT(PRONÓSTICOS!F25,FIND("-",PRONÓSTICOS!F25)-1))=RESULTADOS!E25,VALUE(MID(PRONÓSTICOS!F25,FIND("-",PRONÓSTICOS!F25)+1,10))=RESULTADOS!F25),3,IF(AND(VALUE(LEFT(PRONÓSTICOS!F25,FIND("-",PRONÓSTICOS!F25)-1))-VALUE(MID(PRONÓSTICOS!F25,FIND("-",PRONÓSTICOS!F25)+1,10))=RESULTADOS!E25-RESULTADOS!F25,VALUE(LEFT(PRONÓSTICOS!F25,FIND("-",PRONÓSTICOS!F25)-1))&lt;&gt;RESULTADOS!E25),2,IF(SIGN(VALUE(LEFT(PRONÓSTICOS!F25,FIND("-",PRONÓSTICOS!F25)-1))-VALUE(MID(PRONÓSTICOS!F25,FIND("-",PRONÓSTICOS!F25)+1,10)))=SIGN(RESULTADOS!E25-RESULTADOS!F25),1,0))))</f>
        <v/>
      </c>
      <c r="G24" s="70">
        <f>IF(OR(RESULTADOS!E25="",RESULTADOS!E25=0,RESULTADOS!F25=""),"—",IF(AND(VALUE(LEFT(PRONÓSTICOS!G25,FIND("-",PRONÓSTICOS!G25)-1))=RESULTADOS!E25,VALUE(MID(PRONÓSTICOS!G25,FIND("-",PRONÓSTICOS!G25)+1,10))=RESULTADOS!F25),3,IF(AND(VALUE(LEFT(PRONÓSTICOS!G25,FIND("-",PRONÓSTICOS!G25)-1))-VALUE(MID(PRONÓSTICOS!G25,FIND("-",PRONÓSTICOS!G25)+1,10))=RESULTADOS!E25-RESULTADOS!F25,VALUE(LEFT(PRONÓSTICOS!G25,FIND("-",PRONÓSTICOS!G25)-1))&lt;&gt;RESULTADOS!E25),2,IF(SIGN(VALUE(LEFT(PRONÓSTICOS!G25,FIND("-",PRONÓSTICOS!G25)-1))-VALUE(MID(PRONÓSTICOS!G25,FIND("-",PRONÓSTICOS!G25)+1,10)))=SIGN(RESULTADOS!E25-RESULTADOS!F25),1,0))))</f>
        <v/>
      </c>
      <c r="H24" s="70">
        <f>IF(OR(RESULTADOS!E25="",RESULTADOS!E25=0,RESULTADOS!F25=""),"—",IF(AND(VALUE(LEFT(PRONÓSTICOS!H25,FIND("-",PRONÓSTICOS!H25)-1))=RESULTADOS!E25,VALUE(MID(PRONÓSTICOS!H25,FIND("-",PRONÓSTICOS!H25)+1,10))=RESULTADOS!F25),3,IF(AND(VALUE(LEFT(PRONÓSTICOS!H25,FIND("-",PRONÓSTICOS!H25)-1))-VALUE(MID(PRONÓSTICOS!H25,FIND("-",PRONÓSTICOS!H25)+1,10))=RESULTADOS!E25-RESULTADOS!F25,VALUE(LEFT(PRONÓSTICOS!H25,FIND("-",PRONÓSTICOS!H25)-1))&lt;&gt;RESULTADOS!E25),2,IF(SIGN(VALUE(LEFT(PRONÓSTICOS!H25,FIND("-",PRONÓSTICOS!H25)-1))-VALUE(MID(PRONÓSTICOS!H25,FIND("-",PRONÓSTICOS!H25)+1,10)))=SIGN(RESULTADOS!E25-RESULTADOS!F25),1,0))))</f>
        <v/>
      </c>
      <c r="I24" s="70">
        <f>IF(OR(RESULTADOS!E25="",RESULTADOS!E25=0,RESULTADOS!F25=""),"—",IF(AND(VALUE(LEFT(PRONÓSTICOS!I25,FIND("-",PRONÓSTICOS!I25)-1))=RESULTADOS!E25,VALUE(MID(PRONÓSTICOS!I25,FIND("-",PRONÓSTICOS!I25)+1,10))=RESULTADOS!F25),3,IF(AND(VALUE(LEFT(PRONÓSTICOS!I25,FIND("-",PRONÓSTICOS!I25)-1))-VALUE(MID(PRONÓSTICOS!I25,FIND("-",PRONÓSTICOS!I25)+1,10))=RESULTADOS!E25-RESULTADOS!F25,VALUE(LEFT(PRONÓSTICOS!I25,FIND("-",PRONÓSTICOS!I25)-1))&lt;&gt;RESULTADOS!E25),2,IF(SIGN(VALUE(LEFT(PRONÓSTICOS!I25,FIND("-",PRONÓSTICOS!I25)-1))-VALUE(MID(PRONÓSTICOS!I25,FIND("-",PRONÓSTICOS!I25)+1,10)))=SIGN(RESULTADOS!E25-RESULTADOS!F25),1,0))))</f>
        <v/>
      </c>
      <c r="J24" s="70">
        <f>IF(OR(RESULTADOS!E25="",RESULTADOS!E25=0,RESULTADOS!F25=""),"—",IF(AND(VALUE(LEFT(PRONÓSTICOS!J25,FIND("-",PRONÓSTICOS!J25)-1))=RESULTADOS!E25,VALUE(MID(PRONÓSTICOS!J25,FIND("-",PRONÓSTICOS!J25)+1,10))=RESULTADOS!F25),3,IF(AND(VALUE(LEFT(PRONÓSTICOS!J25,FIND("-",PRONÓSTICOS!J25)-1))-VALUE(MID(PRONÓSTICOS!J25,FIND("-",PRONÓSTICOS!J25)+1,10))=RESULTADOS!E25-RESULTADOS!F25,VALUE(LEFT(PRONÓSTICOS!J25,FIND("-",PRONÓSTICOS!J25)-1))&lt;&gt;RESULTADOS!E25),2,IF(SIGN(VALUE(LEFT(PRONÓSTICOS!J25,FIND("-",PRONÓSTICOS!J25)-1))-VALUE(MID(PRONÓSTICOS!J25,FIND("-",PRONÓSTICOS!J25)+1,10)))=SIGN(RESULTADOS!E25-RESULTADOS!F25),1,0))))</f>
        <v/>
      </c>
      <c r="K24" s="70">
        <f>IF(OR(RESULTADOS!E25="",RESULTADOS!E25=0,RESULTADOS!F25=""),"—",IF(AND(VALUE(LEFT(PRONÓSTICOS!K25,FIND("-",PRONÓSTICOS!K25)-1))=RESULTADOS!E25,VALUE(MID(PRONÓSTICOS!K25,FIND("-",PRONÓSTICOS!K25)+1,10))=RESULTADOS!F25),3,IF(AND(VALUE(LEFT(PRONÓSTICOS!K25,FIND("-",PRONÓSTICOS!K25)-1))-VALUE(MID(PRONÓSTICOS!K25,FIND("-",PRONÓSTICOS!K25)+1,10))=RESULTADOS!E25-RESULTADOS!F25,VALUE(LEFT(PRONÓSTICOS!K25,FIND("-",PRONÓSTICOS!K25)-1))&lt;&gt;RESULTADOS!E25),2,IF(SIGN(VALUE(LEFT(PRONÓSTICOS!K25,FIND("-",PRONÓSTICOS!K25)-1))-VALUE(MID(PRONÓSTICOS!K25,FIND("-",PRONÓSTICOS!K25)+1,10)))=SIGN(RESULTADOS!E25-RESULTADOS!F25),1,0))))</f>
        <v/>
      </c>
      <c r="L24" s="70">
        <f>IF(OR(RESULTADOS!E25="",RESULTADOS!E25=0,RESULTADOS!F25=""),"—",IF(AND(VALUE(LEFT(PRONÓSTICOS!L25,FIND("-",PRONÓSTICOS!L25)-1))=RESULTADOS!E25,VALUE(MID(PRONÓSTICOS!L25,FIND("-",PRONÓSTICOS!L25)+1,10))=RESULTADOS!F25),3,IF(AND(VALUE(LEFT(PRONÓSTICOS!L25,FIND("-",PRONÓSTICOS!L25)-1))-VALUE(MID(PRONÓSTICOS!L25,FIND("-",PRONÓSTICOS!L25)+1,10))=RESULTADOS!E25-RESULTADOS!F25,VALUE(LEFT(PRONÓSTICOS!L25,FIND("-",PRONÓSTICOS!L25)-1))&lt;&gt;RESULTADOS!E25),2,IF(SIGN(VALUE(LEFT(PRONÓSTICOS!L25,FIND("-",PRONÓSTICOS!L25)-1))-VALUE(MID(PRONÓSTICOS!L25,FIND("-",PRONÓSTICOS!L25)+1,10)))=SIGN(RESULTADOS!E25-RESULTADOS!F25),1,0))))</f>
        <v/>
      </c>
    </row>
    <row r="25">
      <c r="A25" s="12" t="n">
        <v>23</v>
      </c>
      <c r="B25" s="12" t="inlineStr">
        <is>
          <t>Serbia vs Inglaterra</t>
        </is>
      </c>
      <c r="C25" s="12">
        <f>IF(OR(RESULTADOS!E26="",RESULTADOS!E26=0,RESULTADOS!F26=""),"—",IF(AND(VALUE(LEFT(PRONÓSTICOS!C26,FIND("-",PRONÓSTICOS!C26)-1))=RESULTADOS!E26,VALUE(MID(PRONÓSTICOS!C26,FIND("-",PRONÓSTICOS!C26)+1,10))=RESULTADOS!F26),3,IF(AND(VALUE(LEFT(PRONÓSTICOS!C26,FIND("-",PRONÓSTICOS!C26)-1))-VALUE(MID(PRONÓSTICOS!C26,FIND("-",PRONÓSTICOS!C26)+1,10))=RESULTADOS!E26-RESULTADOS!F26,VALUE(LEFT(PRONÓSTICOS!C26,FIND("-",PRONÓSTICOS!C26)-1))&lt;&gt;RESULTADOS!E26),2,IF(SIGN(VALUE(LEFT(PRONÓSTICOS!C26,FIND("-",PRONÓSTICOS!C26)-1))-VALUE(MID(PRONÓSTICOS!C26,FIND("-",PRONÓSTICOS!C26)+1,10)))=SIGN(RESULTADOS!E26-RESULTADOS!F26),1,0))))</f>
        <v/>
      </c>
      <c r="D25" s="12">
        <f>IF(OR(RESULTADOS!E26="",RESULTADOS!E26=0,RESULTADOS!F26=""),"—",IF(AND(VALUE(LEFT(PRONÓSTICOS!D26,FIND("-",PRONÓSTICOS!D26)-1))=RESULTADOS!E26,VALUE(MID(PRONÓSTICOS!D26,FIND("-",PRONÓSTICOS!D26)+1,10))=RESULTADOS!F26),3,IF(AND(VALUE(LEFT(PRONÓSTICOS!D26,FIND("-",PRONÓSTICOS!D26)-1))-VALUE(MID(PRONÓSTICOS!D26,FIND("-",PRONÓSTICOS!D26)+1,10))=RESULTADOS!E26-RESULTADOS!F26,VALUE(LEFT(PRONÓSTICOS!D26,FIND("-",PRONÓSTICOS!D26)-1))&lt;&gt;RESULTADOS!E26),2,IF(SIGN(VALUE(LEFT(PRONÓSTICOS!D26,FIND("-",PRONÓSTICOS!D26)-1))-VALUE(MID(PRONÓSTICOS!D26,FIND("-",PRONÓSTICOS!D26)+1,10)))=SIGN(RESULTADOS!E26-RESULTADOS!F26),1,0))))</f>
        <v/>
      </c>
      <c r="E25" s="12">
        <f>IF(OR(RESULTADOS!E26="",RESULTADOS!E26=0,RESULTADOS!F26=""),"—",IF(AND(VALUE(LEFT(PRONÓSTICOS!E26,FIND("-",PRONÓSTICOS!E26)-1))=RESULTADOS!E26,VALUE(MID(PRONÓSTICOS!E26,FIND("-",PRONÓSTICOS!E26)+1,10))=RESULTADOS!F26),3,IF(AND(VALUE(LEFT(PRONÓSTICOS!E26,FIND("-",PRONÓSTICOS!E26)-1))-VALUE(MID(PRONÓSTICOS!E26,FIND("-",PRONÓSTICOS!E26)+1,10))=RESULTADOS!E26-RESULTADOS!F26,VALUE(LEFT(PRONÓSTICOS!E26,FIND("-",PRONÓSTICOS!E26)-1))&lt;&gt;RESULTADOS!E26),2,IF(SIGN(VALUE(LEFT(PRONÓSTICOS!E26,FIND("-",PRONÓSTICOS!E26)-1))-VALUE(MID(PRONÓSTICOS!E26,FIND("-",PRONÓSTICOS!E26)+1,10)))=SIGN(RESULTADOS!E26-RESULTADOS!F26),1,0))))</f>
        <v/>
      </c>
      <c r="F25" s="12">
        <f>IF(OR(RESULTADOS!E26="",RESULTADOS!E26=0,RESULTADOS!F26=""),"—",IF(AND(VALUE(LEFT(PRONÓSTICOS!F26,FIND("-",PRONÓSTICOS!F26)-1))=RESULTADOS!E26,VALUE(MID(PRONÓSTICOS!F26,FIND("-",PRONÓSTICOS!F26)+1,10))=RESULTADOS!F26),3,IF(AND(VALUE(LEFT(PRONÓSTICOS!F26,FIND("-",PRONÓSTICOS!F26)-1))-VALUE(MID(PRONÓSTICOS!F26,FIND("-",PRONÓSTICOS!F26)+1,10))=RESULTADOS!E26-RESULTADOS!F26,VALUE(LEFT(PRONÓSTICOS!F26,FIND("-",PRONÓSTICOS!F26)-1))&lt;&gt;RESULTADOS!E26),2,IF(SIGN(VALUE(LEFT(PRONÓSTICOS!F26,FIND("-",PRONÓSTICOS!F26)-1))-VALUE(MID(PRONÓSTICOS!F26,FIND("-",PRONÓSTICOS!F26)+1,10)))=SIGN(RESULTADOS!E26-RESULTADOS!F26),1,0))))</f>
        <v/>
      </c>
      <c r="G25" s="12">
        <f>IF(OR(RESULTADOS!E26="",RESULTADOS!E26=0,RESULTADOS!F26=""),"—",IF(AND(VALUE(LEFT(PRONÓSTICOS!G26,FIND("-",PRONÓSTICOS!G26)-1))=RESULTADOS!E26,VALUE(MID(PRONÓSTICOS!G26,FIND("-",PRONÓSTICOS!G26)+1,10))=RESULTADOS!F26),3,IF(AND(VALUE(LEFT(PRONÓSTICOS!G26,FIND("-",PRONÓSTICOS!G26)-1))-VALUE(MID(PRONÓSTICOS!G26,FIND("-",PRONÓSTICOS!G26)+1,10))=RESULTADOS!E26-RESULTADOS!F26,VALUE(LEFT(PRONÓSTICOS!G26,FIND("-",PRONÓSTICOS!G26)-1))&lt;&gt;RESULTADOS!E26),2,IF(SIGN(VALUE(LEFT(PRONÓSTICOS!G26,FIND("-",PRONÓSTICOS!G26)-1))-VALUE(MID(PRONÓSTICOS!G26,FIND("-",PRONÓSTICOS!G26)+1,10)))=SIGN(RESULTADOS!E26-RESULTADOS!F26),1,0))))</f>
        <v/>
      </c>
      <c r="H25" s="12">
        <f>IF(OR(RESULTADOS!E26="",RESULTADOS!E26=0,RESULTADOS!F26=""),"—",IF(AND(VALUE(LEFT(PRONÓSTICOS!H26,FIND("-",PRONÓSTICOS!H26)-1))=RESULTADOS!E26,VALUE(MID(PRONÓSTICOS!H26,FIND("-",PRONÓSTICOS!H26)+1,10))=RESULTADOS!F26),3,IF(AND(VALUE(LEFT(PRONÓSTICOS!H26,FIND("-",PRONÓSTICOS!H26)-1))-VALUE(MID(PRONÓSTICOS!H26,FIND("-",PRONÓSTICOS!H26)+1,10))=RESULTADOS!E26-RESULTADOS!F26,VALUE(LEFT(PRONÓSTICOS!H26,FIND("-",PRONÓSTICOS!H26)-1))&lt;&gt;RESULTADOS!E26),2,IF(SIGN(VALUE(LEFT(PRONÓSTICOS!H26,FIND("-",PRONÓSTICOS!H26)-1))-VALUE(MID(PRONÓSTICOS!H26,FIND("-",PRONÓSTICOS!H26)+1,10)))=SIGN(RESULTADOS!E26-RESULTADOS!F26),1,0))))</f>
        <v/>
      </c>
      <c r="I25" s="12">
        <f>IF(OR(RESULTADOS!E26="",RESULTADOS!E26=0,RESULTADOS!F26=""),"—",IF(AND(VALUE(LEFT(PRONÓSTICOS!I26,FIND("-",PRONÓSTICOS!I26)-1))=RESULTADOS!E26,VALUE(MID(PRONÓSTICOS!I26,FIND("-",PRONÓSTICOS!I26)+1,10))=RESULTADOS!F26),3,IF(AND(VALUE(LEFT(PRONÓSTICOS!I26,FIND("-",PRONÓSTICOS!I26)-1))-VALUE(MID(PRONÓSTICOS!I26,FIND("-",PRONÓSTICOS!I26)+1,10))=RESULTADOS!E26-RESULTADOS!F26,VALUE(LEFT(PRONÓSTICOS!I26,FIND("-",PRONÓSTICOS!I26)-1))&lt;&gt;RESULTADOS!E26),2,IF(SIGN(VALUE(LEFT(PRONÓSTICOS!I26,FIND("-",PRONÓSTICOS!I26)-1))-VALUE(MID(PRONÓSTICOS!I26,FIND("-",PRONÓSTICOS!I26)+1,10)))=SIGN(RESULTADOS!E26-RESULTADOS!F26),1,0))))</f>
        <v/>
      </c>
      <c r="J25" s="12">
        <f>IF(OR(RESULTADOS!E26="",RESULTADOS!E26=0,RESULTADOS!F26=""),"—",IF(AND(VALUE(LEFT(PRONÓSTICOS!J26,FIND("-",PRONÓSTICOS!J26)-1))=RESULTADOS!E26,VALUE(MID(PRONÓSTICOS!J26,FIND("-",PRONÓSTICOS!J26)+1,10))=RESULTADOS!F26),3,IF(AND(VALUE(LEFT(PRONÓSTICOS!J26,FIND("-",PRONÓSTICOS!J26)-1))-VALUE(MID(PRONÓSTICOS!J26,FIND("-",PRONÓSTICOS!J26)+1,10))=RESULTADOS!E26-RESULTADOS!F26,VALUE(LEFT(PRONÓSTICOS!J26,FIND("-",PRONÓSTICOS!J26)-1))&lt;&gt;RESULTADOS!E26),2,IF(SIGN(VALUE(LEFT(PRONÓSTICOS!J26,FIND("-",PRONÓSTICOS!J26)-1))-VALUE(MID(PRONÓSTICOS!J26,FIND("-",PRONÓSTICOS!J26)+1,10)))=SIGN(RESULTADOS!E26-RESULTADOS!F26),1,0))))</f>
        <v/>
      </c>
      <c r="K25" s="12">
        <f>IF(OR(RESULTADOS!E26="",RESULTADOS!E26=0,RESULTADOS!F26=""),"—",IF(AND(VALUE(LEFT(PRONÓSTICOS!K26,FIND("-",PRONÓSTICOS!K26)-1))=RESULTADOS!E26,VALUE(MID(PRONÓSTICOS!K26,FIND("-",PRONÓSTICOS!K26)+1,10))=RESULTADOS!F26),3,IF(AND(VALUE(LEFT(PRONÓSTICOS!K26,FIND("-",PRONÓSTICOS!K26)-1))-VALUE(MID(PRONÓSTICOS!K26,FIND("-",PRONÓSTICOS!K26)+1,10))=RESULTADOS!E26-RESULTADOS!F26,VALUE(LEFT(PRONÓSTICOS!K26,FIND("-",PRONÓSTICOS!K26)-1))&lt;&gt;RESULTADOS!E26),2,IF(SIGN(VALUE(LEFT(PRONÓSTICOS!K26,FIND("-",PRONÓSTICOS!K26)-1))-VALUE(MID(PRONÓSTICOS!K26,FIND("-",PRONÓSTICOS!K26)+1,10)))=SIGN(RESULTADOS!E26-RESULTADOS!F26),1,0))))</f>
        <v/>
      </c>
      <c r="L25" s="12">
        <f>IF(OR(RESULTADOS!E26="",RESULTADOS!E26=0,RESULTADOS!F26=""),"—",IF(AND(VALUE(LEFT(PRONÓSTICOS!L26,FIND("-",PRONÓSTICOS!L26)-1))=RESULTADOS!E26,VALUE(MID(PRONÓSTICOS!L26,FIND("-",PRONÓSTICOS!L26)+1,10))=RESULTADOS!F26),3,IF(AND(VALUE(LEFT(PRONÓSTICOS!L26,FIND("-",PRONÓSTICOS!L26)-1))-VALUE(MID(PRONÓSTICOS!L26,FIND("-",PRONÓSTICOS!L26)+1,10))=RESULTADOS!E26-RESULTADOS!F26,VALUE(LEFT(PRONÓSTICOS!L26,FIND("-",PRONÓSTICOS!L26)-1))&lt;&gt;RESULTADOS!E26),2,IF(SIGN(VALUE(LEFT(PRONÓSTICOS!L26,FIND("-",PRONÓSTICOS!L26)-1))-VALUE(MID(PRONÓSTICOS!L26,FIND("-",PRONÓSTICOS!L26)+1,10)))=SIGN(RESULTADOS!E26-RESULTADOS!F26),1,0))))</f>
        <v/>
      </c>
    </row>
    <row r="26">
      <c r="A26" s="70" t="n">
        <v>24</v>
      </c>
      <c r="B26" s="70" t="inlineStr">
        <is>
          <t>Eslovaquia vs Serbia</t>
        </is>
      </c>
      <c r="C26" s="70">
        <f>IF(OR(RESULTADOS!E27="",RESULTADOS!E27=0,RESULTADOS!F27=""),"—",IF(AND(VALUE(LEFT(PRONÓSTICOS!C27,FIND("-",PRONÓSTICOS!C27)-1))=RESULTADOS!E27,VALUE(MID(PRONÓSTICOS!C27,FIND("-",PRONÓSTICOS!C27)+1,10))=RESULTADOS!F27),3,IF(AND(VALUE(LEFT(PRONÓSTICOS!C27,FIND("-",PRONÓSTICOS!C27)-1))-VALUE(MID(PRONÓSTICOS!C27,FIND("-",PRONÓSTICOS!C27)+1,10))=RESULTADOS!E27-RESULTADOS!F27,VALUE(LEFT(PRONÓSTICOS!C27,FIND("-",PRONÓSTICOS!C27)-1))&lt;&gt;RESULTADOS!E27),2,IF(SIGN(VALUE(LEFT(PRONÓSTICOS!C27,FIND("-",PRONÓSTICOS!C27)-1))-VALUE(MID(PRONÓSTICOS!C27,FIND("-",PRONÓSTICOS!C27)+1,10)))=SIGN(RESULTADOS!E27-RESULTADOS!F27),1,0))))</f>
        <v/>
      </c>
      <c r="D26" s="70">
        <f>IF(OR(RESULTADOS!E27="",RESULTADOS!E27=0,RESULTADOS!F27=""),"—",IF(AND(VALUE(LEFT(PRONÓSTICOS!D27,FIND("-",PRONÓSTICOS!D27)-1))=RESULTADOS!E27,VALUE(MID(PRONÓSTICOS!D27,FIND("-",PRONÓSTICOS!D27)+1,10))=RESULTADOS!F27),3,IF(AND(VALUE(LEFT(PRONÓSTICOS!D27,FIND("-",PRONÓSTICOS!D27)-1))-VALUE(MID(PRONÓSTICOS!D27,FIND("-",PRONÓSTICOS!D27)+1,10))=RESULTADOS!E27-RESULTADOS!F27,VALUE(LEFT(PRONÓSTICOS!D27,FIND("-",PRONÓSTICOS!D27)-1))&lt;&gt;RESULTADOS!E27),2,IF(SIGN(VALUE(LEFT(PRONÓSTICOS!D27,FIND("-",PRONÓSTICOS!D27)-1))-VALUE(MID(PRONÓSTICOS!D27,FIND("-",PRONÓSTICOS!D27)+1,10)))=SIGN(RESULTADOS!E27-RESULTADOS!F27),1,0))))</f>
        <v/>
      </c>
      <c r="E26" s="70">
        <f>IF(OR(RESULTADOS!E27="",RESULTADOS!E27=0,RESULTADOS!F27=""),"—",IF(AND(VALUE(LEFT(PRONÓSTICOS!E27,FIND("-",PRONÓSTICOS!E27)-1))=RESULTADOS!E27,VALUE(MID(PRONÓSTICOS!E27,FIND("-",PRONÓSTICOS!E27)+1,10))=RESULTADOS!F27),3,IF(AND(VALUE(LEFT(PRONÓSTICOS!E27,FIND("-",PRONÓSTICOS!E27)-1))-VALUE(MID(PRONÓSTICOS!E27,FIND("-",PRONÓSTICOS!E27)+1,10))=RESULTADOS!E27-RESULTADOS!F27,VALUE(LEFT(PRONÓSTICOS!E27,FIND("-",PRONÓSTICOS!E27)-1))&lt;&gt;RESULTADOS!E27),2,IF(SIGN(VALUE(LEFT(PRONÓSTICOS!E27,FIND("-",PRONÓSTICOS!E27)-1))-VALUE(MID(PRONÓSTICOS!E27,FIND("-",PRONÓSTICOS!E27)+1,10)))=SIGN(RESULTADOS!E27-RESULTADOS!F27),1,0))))</f>
        <v/>
      </c>
      <c r="F26" s="70">
        <f>IF(OR(RESULTADOS!E27="",RESULTADOS!E27=0,RESULTADOS!F27=""),"—",IF(AND(VALUE(LEFT(PRONÓSTICOS!F27,FIND("-",PRONÓSTICOS!F27)-1))=RESULTADOS!E27,VALUE(MID(PRONÓSTICOS!F27,FIND("-",PRONÓSTICOS!F27)+1,10))=RESULTADOS!F27),3,IF(AND(VALUE(LEFT(PRONÓSTICOS!F27,FIND("-",PRONÓSTICOS!F27)-1))-VALUE(MID(PRONÓSTICOS!F27,FIND("-",PRONÓSTICOS!F27)+1,10))=RESULTADOS!E27-RESULTADOS!F27,VALUE(LEFT(PRONÓSTICOS!F27,FIND("-",PRONÓSTICOS!F27)-1))&lt;&gt;RESULTADOS!E27),2,IF(SIGN(VALUE(LEFT(PRONÓSTICOS!F27,FIND("-",PRONÓSTICOS!F27)-1))-VALUE(MID(PRONÓSTICOS!F27,FIND("-",PRONÓSTICOS!F27)+1,10)))=SIGN(RESULTADOS!E27-RESULTADOS!F27),1,0))))</f>
        <v/>
      </c>
      <c r="G26" s="70">
        <f>IF(OR(RESULTADOS!E27="",RESULTADOS!E27=0,RESULTADOS!F27=""),"—",IF(AND(VALUE(LEFT(PRONÓSTICOS!G27,FIND("-",PRONÓSTICOS!G27)-1))=RESULTADOS!E27,VALUE(MID(PRONÓSTICOS!G27,FIND("-",PRONÓSTICOS!G27)+1,10))=RESULTADOS!F27),3,IF(AND(VALUE(LEFT(PRONÓSTICOS!G27,FIND("-",PRONÓSTICOS!G27)-1))-VALUE(MID(PRONÓSTICOS!G27,FIND("-",PRONÓSTICOS!G27)+1,10))=RESULTADOS!E27-RESULTADOS!F27,VALUE(LEFT(PRONÓSTICOS!G27,FIND("-",PRONÓSTICOS!G27)-1))&lt;&gt;RESULTADOS!E27),2,IF(SIGN(VALUE(LEFT(PRONÓSTICOS!G27,FIND("-",PRONÓSTICOS!G27)-1))-VALUE(MID(PRONÓSTICOS!G27,FIND("-",PRONÓSTICOS!G27)+1,10)))=SIGN(RESULTADOS!E27-RESULTADOS!F27),1,0))))</f>
        <v/>
      </c>
      <c r="H26" s="70">
        <f>IF(OR(RESULTADOS!E27="",RESULTADOS!E27=0,RESULTADOS!F27=""),"—",IF(AND(VALUE(LEFT(PRONÓSTICOS!H27,FIND("-",PRONÓSTICOS!H27)-1))=RESULTADOS!E27,VALUE(MID(PRONÓSTICOS!H27,FIND("-",PRONÓSTICOS!H27)+1,10))=RESULTADOS!F27),3,IF(AND(VALUE(LEFT(PRONÓSTICOS!H27,FIND("-",PRONÓSTICOS!H27)-1))-VALUE(MID(PRONÓSTICOS!H27,FIND("-",PRONÓSTICOS!H27)+1,10))=RESULTADOS!E27-RESULTADOS!F27,VALUE(LEFT(PRONÓSTICOS!H27,FIND("-",PRONÓSTICOS!H27)-1))&lt;&gt;RESULTADOS!E27),2,IF(SIGN(VALUE(LEFT(PRONÓSTICOS!H27,FIND("-",PRONÓSTICOS!H27)-1))-VALUE(MID(PRONÓSTICOS!H27,FIND("-",PRONÓSTICOS!H27)+1,10)))=SIGN(RESULTADOS!E27-RESULTADOS!F27),1,0))))</f>
        <v/>
      </c>
      <c r="I26" s="70">
        <f>IF(OR(RESULTADOS!E27="",RESULTADOS!E27=0,RESULTADOS!F27=""),"—",IF(AND(VALUE(LEFT(PRONÓSTICOS!I27,FIND("-",PRONÓSTICOS!I27)-1))=RESULTADOS!E27,VALUE(MID(PRONÓSTICOS!I27,FIND("-",PRONÓSTICOS!I27)+1,10))=RESULTADOS!F27),3,IF(AND(VALUE(LEFT(PRONÓSTICOS!I27,FIND("-",PRONÓSTICOS!I27)-1))-VALUE(MID(PRONÓSTICOS!I27,FIND("-",PRONÓSTICOS!I27)+1,10))=RESULTADOS!E27-RESULTADOS!F27,VALUE(LEFT(PRONÓSTICOS!I27,FIND("-",PRONÓSTICOS!I27)-1))&lt;&gt;RESULTADOS!E27),2,IF(SIGN(VALUE(LEFT(PRONÓSTICOS!I27,FIND("-",PRONÓSTICOS!I27)-1))-VALUE(MID(PRONÓSTICOS!I27,FIND("-",PRONÓSTICOS!I27)+1,10)))=SIGN(RESULTADOS!E27-RESULTADOS!F27),1,0))))</f>
        <v/>
      </c>
      <c r="J26" s="70">
        <f>IF(OR(RESULTADOS!E27="",RESULTADOS!E27=0,RESULTADOS!F27=""),"—",IF(AND(VALUE(LEFT(PRONÓSTICOS!J27,FIND("-",PRONÓSTICOS!J27)-1))=RESULTADOS!E27,VALUE(MID(PRONÓSTICOS!J27,FIND("-",PRONÓSTICOS!J27)+1,10))=RESULTADOS!F27),3,IF(AND(VALUE(LEFT(PRONÓSTICOS!J27,FIND("-",PRONÓSTICOS!J27)-1))-VALUE(MID(PRONÓSTICOS!J27,FIND("-",PRONÓSTICOS!J27)+1,10))=RESULTADOS!E27-RESULTADOS!F27,VALUE(LEFT(PRONÓSTICOS!J27,FIND("-",PRONÓSTICOS!J27)-1))&lt;&gt;RESULTADOS!E27),2,IF(SIGN(VALUE(LEFT(PRONÓSTICOS!J27,FIND("-",PRONÓSTICOS!J27)-1))-VALUE(MID(PRONÓSTICOS!J27,FIND("-",PRONÓSTICOS!J27)+1,10)))=SIGN(RESULTADOS!E27-RESULTADOS!F27),1,0))))</f>
        <v/>
      </c>
      <c r="K26" s="70">
        <f>IF(OR(RESULTADOS!E27="",RESULTADOS!E27=0,RESULTADOS!F27=""),"—",IF(AND(VALUE(LEFT(PRONÓSTICOS!K27,FIND("-",PRONÓSTICOS!K27)-1))=RESULTADOS!E27,VALUE(MID(PRONÓSTICOS!K27,FIND("-",PRONÓSTICOS!K27)+1,10))=RESULTADOS!F27),3,IF(AND(VALUE(LEFT(PRONÓSTICOS!K27,FIND("-",PRONÓSTICOS!K27)-1))-VALUE(MID(PRONÓSTICOS!K27,FIND("-",PRONÓSTICOS!K27)+1,10))=RESULTADOS!E27-RESULTADOS!F27,VALUE(LEFT(PRONÓSTICOS!K27,FIND("-",PRONÓSTICOS!K27)-1))&lt;&gt;RESULTADOS!E27),2,IF(SIGN(VALUE(LEFT(PRONÓSTICOS!K27,FIND("-",PRONÓSTICOS!K27)-1))-VALUE(MID(PRONÓSTICOS!K27,FIND("-",PRONÓSTICOS!K27)+1,10)))=SIGN(RESULTADOS!E27-RESULTADOS!F27),1,0))))</f>
        <v/>
      </c>
      <c r="L26" s="70">
        <f>IF(OR(RESULTADOS!E27="",RESULTADOS!E27=0,RESULTADOS!F27=""),"—",IF(AND(VALUE(LEFT(PRONÓSTICOS!L27,FIND("-",PRONÓSTICOS!L27)-1))=RESULTADOS!E27,VALUE(MID(PRONÓSTICOS!L27,FIND("-",PRONÓSTICOS!L27)+1,10))=RESULTADOS!F27),3,IF(AND(VALUE(LEFT(PRONÓSTICOS!L27,FIND("-",PRONÓSTICOS!L27)-1))-VALUE(MID(PRONÓSTICOS!L27,FIND("-",PRONÓSTICOS!L27)+1,10))=RESULTADOS!E27-RESULTADOS!F27,VALUE(LEFT(PRONÓSTICOS!L27,FIND("-",PRONÓSTICOS!L27)-1))&lt;&gt;RESULTADOS!E27),2,IF(SIGN(VALUE(LEFT(PRONÓSTICOS!L27,FIND("-",PRONÓSTICOS!L27)-1))-VALUE(MID(PRONÓSTICOS!L27,FIND("-",PRONÓSTICOS!L27)+1,10)))=SIGN(RESULTADOS!E27-RESULTADOS!F27),1,0))))</f>
        <v/>
      </c>
    </row>
    <row r="27">
      <c r="A27" s="12" t="n">
        <v>25</v>
      </c>
      <c r="B27" s="12" t="inlineStr">
        <is>
          <t>Croacia vs Rep. Checa</t>
        </is>
      </c>
      <c r="C27" s="12">
        <f>IF(OR(RESULTADOS!E28="",RESULTADOS!E28=0,RESULTADOS!F28=""),"—",IF(AND(VALUE(LEFT(PRONÓSTICOS!C28,FIND("-",PRONÓSTICOS!C28)-1))=RESULTADOS!E28,VALUE(MID(PRONÓSTICOS!C28,FIND("-",PRONÓSTICOS!C28)+1,10))=RESULTADOS!F28),3,IF(AND(VALUE(LEFT(PRONÓSTICOS!C28,FIND("-",PRONÓSTICOS!C28)-1))-VALUE(MID(PRONÓSTICOS!C28,FIND("-",PRONÓSTICOS!C28)+1,10))=RESULTADOS!E28-RESULTADOS!F28,VALUE(LEFT(PRONÓSTICOS!C28,FIND("-",PRONÓSTICOS!C28)-1))&lt;&gt;RESULTADOS!E28),2,IF(SIGN(VALUE(LEFT(PRONÓSTICOS!C28,FIND("-",PRONÓSTICOS!C28)-1))-VALUE(MID(PRONÓSTICOS!C28,FIND("-",PRONÓSTICOS!C28)+1,10)))=SIGN(RESULTADOS!E28-RESULTADOS!F28),1,0))))</f>
        <v/>
      </c>
      <c r="D27" s="12">
        <f>IF(OR(RESULTADOS!E28="",RESULTADOS!E28=0,RESULTADOS!F28=""),"—",IF(AND(VALUE(LEFT(PRONÓSTICOS!D28,FIND("-",PRONÓSTICOS!D28)-1))=RESULTADOS!E28,VALUE(MID(PRONÓSTICOS!D28,FIND("-",PRONÓSTICOS!D28)+1,10))=RESULTADOS!F28),3,IF(AND(VALUE(LEFT(PRONÓSTICOS!D28,FIND("-",PRONÓSTICOS!D28)-1))-VALUE(MID(PRONÓSTICOS!D28,FIND("-",PRONÓSTICOS!D28)+1,10))=RESULTADOS!E28-RESULTADOS!F28,VALUE(LEFT(PRONÓSTICOS!D28,FIND("-",PRONÓSTICOS!D28)-1))&lt;&gt;RESULTADOS!E28),2,IF(SIGN(VALUE(LEFT(PRONÓSTICOS!D28,FIND("-",PRONÓSTICOS!D28)-1))-VALUE(MID(PRONÓSTICOS!D28,FIND("-",PRONÓSTICOS!D28)+1,10)))=SIGN(RESULTADOS!E28-RESULTADOS!F28),1,0))))</f>
        <v/>
      </c>
      <c r="E27" s="12">
        <f>IF(OR(RESULTADOS!E28="",RESULTADOS!E28=0,RESULTADOS!F28=""),"—",IF(AND(VALUE(LEFT(PRONÓSTICOS!E28,FIND("-",PRONÓSTICOS!E28)-1))=RESULTADOS!E28,VALUE(MID(PRONÓSTICOS!E28,FIND("-",PRONÓSTICOS!E28)+1,10))=RESULTADOS!F28),3,IF(AND(VALUE(LEFT(PRONÓSTICOS!E28,FIND("-",PRONÓSTICOS!E28)-1))-VALUE(MID(PRONÓSTICOS!E28,FIND("-",PRONÓSTICOS!E28)+1,10))=RESULTADOS!E28-RESULTADOS!F28,VALUE(LEFT(PRONÓSTICOS!E28,FIND("-",PRONÓSTICOS!E28)-1))&lt;&gt;RESULTADOS!E28),2,IF(SIGN(VALUE(LEFT(PRONÓSTICOS!E28,FIND("-",PRONÓSTICOS!E28)-1))-VALUE(MID(PRONÓSTICOS!E28,FIND("-",PRONÓSTICOS!E28)+1,10)))=SIGN(RESULTADOS!E28-RESULTADOS!F28),1,0))))</f>
        <v/>
      </c>
      <c r="F27" s="12">
        <f>IF(OR(RESULTADOS!E28="",RESULTADOS!E28=0,RESULTADOS!F28=""),"—",IF(AND(VALUE(LEFT(PRONÓSTICOS!F28,FIND("-",PRONÓSTICOS!F28)-1))=RESULTADOS!E28,VALUE(MID(PRONÓSTICOS!F28,FIND("-",PRONÓSTICOS!F28)+1,10))=RESULTADOS!F28),3,IF(AND(VALUE(LEFT(PRONÓSTICOS!F28,FIND("-",PRONÓSTICOS!F28)-1))-VALUE(MID(PRONÓSTICOS!F28,FIND("-",PRONÓSTICOS!F28)+1,10))=RESULTADOS!E28-RESULTADOS!F28,VALUE(LEFT(PRONÓSTICOS!F28,FIND("-",PRONÓSTICOS!F28)-1))&lt;&gt;RESULTADOS!E28),2,IF(SIGN(VALUE(LEFT(PRONÓSTICOS!F28,FIND("-",PRONÓSTICOS!F28)-1))-VALUE(MID(PRONÓSTICOS!F28,FIND("-",PRONÓSTICOS!F28)+1,10)))=SIGN(RESULTADOS!E28-RESULTADOS!F28),1,0))))</f>
        <v/>
      </c>
      <c r="G27" s="12">
        <f>IF(OR(RESULTADOS!E28="",RESULTADOS!E28=0,RESULTADOS!F28=""),"—",IF(AND(VALUE(LEFT(PRONÓSTICOS!G28,FIND("-",PRONÓSTICOS!G28)-1))=RESULTADOS!E28,VALUE(MID(PRONÓSTICOS!G28,FIND("-",PRONÓSTICOS!G28)+1,10))=RESULTADOS!F28),3,IF(AND(VALUE(LEFT(PRONÓSTICOS!G28,FIND("-",PRONÓSTICOS!G28)-1))-VALUE(MID(PRONÓSTICOS!G28,FIND("-",PRONÓSTICOS!G28)+1,10))=RESULTADOS!E28-RESULTADOS!F28,VALUE(LEFT(PRONÓSTICOS!G28,FIND("-",PRONÓSTICOS!G28)-1))&lt;&gt;RESULTADOS!E28),2,IF(SIGN(VALUE(LEFT(PRONÓSTICOS!G28,FIND("-",PRONÓSTICOS!G28)-1))-VALUE(MID(PRONÓSTICOS!G28,FIND("-",PRONÓSTICOS!G28)+1,10)))=SIGN(RESULTADOS!E28-RESULTADOS!F28),1,0))))</f>
        <v/>
      </c>
      <c r="H27" s="12">
        <f>IF(OR(RESULTADOS!E28="",RESULTADOS!E28=0,RESULTADOS!F28=""),"—",IF(AND(VALUE(LEFT(PRONÓSTICOS!H28,FIND("-",PRONÓSTICOS!H28)-1))=RESULTADOS!E28,VALUE(MID(PRONÓSTICOS!H28,FIND("-",PRONÓSTICOS!H28)+1,10))=RESULTADOS!F28),3,IF(AND(VALUE(LEFT(PRONÓSTICOS!H28,FIND("-",PRONÓSTICOS!H28)-1))-VALUE(MID(PRONÓSTICOS!H28,FIND("-",PRONÓSTICOS!H28)+1,10))=RESULTADOS!E28-RESULTADOS!F28,VALUE(LEFT(PRONÓSTICOS!H28,FIND("-",PRONÓSTICOS!H28)-1))&lt;&gt;RESULTADOS!E28),2,IF(SIGN(VALUE(LEFT(PRONÓSTICOS!H28,FIND("-",PRONÓSTICOS!H28)-1))-VALUE(MID(PRONÓSTICOS!H28,FIND("-",PRONÓSTICOS!H28)+1,10)))=SIGN(RESULTADOS!E28-RESULTADOS!F28),1,0))))</f>
        <v/>
      </c>
      <c r="I27" s="12">
        <f>IF(OR(RESULTADOS!E28="",RESULTADOS!E28=0,RESULTADOS!F28=""),"—",IF(AND(VALUE(LEFT(PRONÓSTICOS!I28,FIND("-",PRONÓSTICOS!I28)-1))=RESULTADOS!E28,VALUE(MID(PRONÓSTICOS!I28,FIND("-",PRONÓSTICOS!I28)+1,10))=RESULTADOS!F28),3,IF(AND(VALUE(LEFT(PRONÓSTICOS!I28,FIND("-",PRONÓSTICOS!I28)-1))-VALUE(MID(PRONÓSTICOS!I28,FIND("-",PRONÓSTICOS!I28)+1,10))=RESULTADOS!E28-RESULTADOS!F28,VALUE(LEFT(PRONÓSTICOS!I28,FIND("-",PRONÓSTICOS!I28)-1))&lt;&gt;RESULTADOS!E28),2,IF(SIGN(VALUE(LEFT(PRONÓSTICOS!I28,FIND("-",PRONÓSTICOS!I28)-1))-VALUE(MID(PRONÓSTICOS!I28,FIND("-",PRONÓSTICOS!I28)+1,10)))=SIGN(RESULTADOS!E28-RESULTADOS!F28),1,0))))</f>
        <v/>
      </c>
      <c r="J27" s="12">
        <f>IF(OR(RESULTADOS!E28="",RESULTADOS!E28=0,RESULTADOS!F28=""),"—",IF(AND(VALUE(LEFT(PRONÓSTICOS!J28,FIND("-",PRONÓSTICOS!J28)-1))=RESULTADOS!E28,VALUE(MID(PRONÓSTICOS!J28,FIND("-",PRONÓSTICOS!J28)+1,10))=RESULTADOS!F28),3,IF(AND(VALUE(LEFT(PRONÓSTICOS!J28,FIND("-",PRONÓSTICOS!J28)-1))-VALUE(MID(PRONÓSTICOS!J28,FIND("-",PRONÓSTICOS!J28)+1,10))=RESULTADOS!E28-RESULTADOS!F28,VALUE(LEFT(PRONÓSTICOS!J28,FIND("-",PRONÓSTICOS!J28)-1))&lt;&gt;RESULTADOS!E28),2,IF(SIGN(VALUE(LEFT(PRONÓSTICOS!J28,FIND("-",PRONÓSTICOS!J28)-1))-VALUE(MID(PRONÓSTICOS!J28,FIND("-",PRONÓSTICOS!J28)+1,10)))=SIGN(RESULTADOS!E28-RESULTADOS!F28),1,0))))</f>
        <v/>
      </c>
      <c r="K27" s="12">
        <f>IF(OR(RESULTADOS!E28="",RESULTADOS!E28=0,RESULTADOS!F28=""),"—",IF(AND(VALUE(LEFT(PRONÓSTICOS!K28,FIND("-",PRONÓSTICOS!K28)-1))=RESULTADOS!E28,VALUE(MID(PRONÓSTICOS!K28,FIND("-",PRONÓSTICOS!K28)+1,10))=RESULTADOS!F28),3,IF(AND(VALUE(LEFT(PRONÓSTICOS!K28,FIND("-",PRONÓSTICOS!K28)-1))-VALUE(MID(PRONÓSTICOS!K28,FIND("-",PRONÓSTICOS!K28)+1,10))=RESULTADOS!E28-RESULTADOS!F28,VALUE(LEFT(PRONÓSTICOS!K28,FIND("-",PRONÓSTICOS!K28)-1))&lt;&gt;RESULTADOS!E28),2,IF(SIGN(VALUE(LEFT(PRONÓSTICOS!K28,FIND("-",PRONÓSTICOS!K28)-1))-VALUE(MID(PRONÓSTICOS!K28,FIND("-",PRONÓSTICOS!K28)+1,10)))=SIGN(RESULTADOS!E28-RESULTADOS!F28),1,0))))</f>
        <v/>
      </c>
      <c r="L27" s="12">
        <f>IF(OR(RESULTADOS!E28="",RESULTADOS!E28=0,RESULTADOS!F28=""),"—",IF(AND(VALUE(LEFT(PRONÓSTICOS!L28,FIND("-",PRONÓSTICOS!L28)-1))=RESULTADOS!E28,VALUE(MID(PRONÓSTICOS!L28,FIND("-",PRONÓSTICOS!L28)+1,10))=RESULTADOS!F28),3,IF(AND(VALUE(LEFT(PRONÓSTICOS!L28,FIND("-",PRONÓSTICOS!L28)-1))-VALUE(MID(PRONÓSTICOS!L28,FIND("-",PRONÓSTICOS!L28)+1,10))=RESULTADOS!E28-RESULTADOS!F28,VALUE(LEFT(PRONÓSTICOS!L28,FIND("-",PRONÓSTICOS!L28)-1))&lt;&gt;RESULTADOS!E28),2,IF(SIGN(VALUE(LEFT(PRONÓSTICOS!L28,FIND("-",PRONÓSTICOS!L28)-1))-VALUE(MID(PRONÓSTICOS!L28,FIND("-",PRONÓSTICOS!L28)+1,10)))=SIGN(RESULTADOS!E28-RESULTADOS!F28),1,0))))</f>
        <v/>
      </c>
    </row>
    <row r="28">
      <c r="A28" s="70" t="n">
        <v>26</v>
      </c>
      <c r="B28" s="70" t="inlineStr">
        <is>
          <t>Turquía vs Croacia</t>
        </is>
      </c>
      <c r="C28" s="70">
        <f>IF(OR(RESULTADOS!E29="",RESULTADOS!E29=0,RESULTADOS!F29=""),"—",IF(AND(VALUE(LEFT(PRONÓSTICOS!C29,FIND("-",PRONÓSTICOS!C29)-1))=RESULTADOS!E29,VALUE(MID(PRONÓSTICOS!C29,FIND("-",PRONÓSTICOS!C29)+1,10))=RESULTADOS!F29),3,IF(AND(VALUE(LEFT(PRONÓSTICOS!C29,FIND("-",PRONÓSTICOS!C29)-1))-VALUE(MID(PRONÓSTICOS!C29,FIND("-",PRONÓSTICOS!C29)+1,10))=RESULTADOS!E29-RESULTADOS!F29,VALUE(LEFT(PRONÓSTICOS!C29,FIND("-",PRONÓSTICOS!C29)-1))&lt;&gt;RESULTADOS!E29),2,IF(SIGN(VALUE(LEFT(PRONÓSTICOS!C29,FIND("-",PRONÓSTICOS!C29)-1))-VALUE(MID(PRONÓSTICOS!C29,FIND("-",PRONÓSTICOS!C29)+1,10)))=SIGN(RESULTADOS!E29-RESULTADOS!F29),1,0))))</f>
        <v/>
      </c>
      <c r="D28" s="70">
        <f>IF(OR(RESULTADOS!E29="",RESULTADOS!E29=0,RESULTADOS!F29=""),"—",IF(AND(VALUE(LEFT(PRONÓSTICOS!D29,FIND("-",PRONÓSTICOS!D29)-1))=RESULTADOS!E29,VALUE(MID(PRONÓSTICOS!D29,FIND("-",PRONÓSTICOS!D29)+1,10))=RESULTADOS!F29),3,IF(AND(VALUE(LEFT(PRONÓSTICOS!D29,FIND("-",PRONÓSTICOS!D29)-1))-VALUE(MID(PRONÓSTICOS!D29,FIND("-",PRONÓSTICOS!D29)+1,10))=RESULTADOS!E29-RESULTADOS!F29,VALUE(LEFT(PRONÓSTICOS!D29,FIND("-",PRONÓSTICOS!D29)-1))&lt;&gt;RESULTADOS!E29),2,IF(SIGN(VALUE(LEFT(PRONÓSTICOS!D29,FIND("-",PRONÓSTICOS!D29)-1))-VALUE(MID(PRONÓSTICOS!D29,FIND("-",PRONÓSTICOS!D29)+1,10)))=SIGN(RESULTADOS!E29-RESULTADOS!F29),1,0))))</f>
        <v/>
      </c>
      <c r="E28" s="70">
        <f>IF(OR(RESULTADOS!E29="",RESULTADOS!E29=0,RESULTADOS!F29=""),"—",IF(AND(VALUE(LEFT(PRONÓSTICOS!E29,FIND("-",PRONÓSTICOS!E29)-1))=RESULTADOS!E29,VALUE(MID(PRONÓSTICOS!E29,FIND("-",PRONÓSTICOS!E29)+1,10))=RESULTADOS!F29),3,IF(AND(VALUE(LEFT(PRONÓSTICOS!E29,FIND("-",PRONÓSTICOS!E29)-1))-VALUE(MID(PRONÓSTICOS!E29,FIND("-",PRONÓSTICOS!E29)+1,10))=RESULTADOS!E29-RESULTADOS!F29,VALUE(LEFT(PRONÓSTICOS!E29,FIND("-",PRONÓSTICOS!E29)-1))&lt;&gt;RESULTADOS!E29),2,IF(SIGN(VALUE(LEFT(PRONÓSTICOS!E29,FIND("-",PRONÓSTICOS!E29)-1))-VALUE(MID(PRONÓSTICOS!E29,FIND("-",PRONÓSTICOS!E29)+1,10)))=SIGN(RESULTADOS!E29-RESULTADOS!F29),1,0))))</f>
        <v/>
      </c>
      <c r="F28" s="70">
        <f>IF(OR(RESULTADOS!E29="",RESULTADOS!E29=0,RESULTADOS!F29=""),"—",IF(AND(VALUE(LEFT(PRONÓSTICOS!F29,FIND("-",PRONÓSTICOS!F29)-1))=RESULTADOS!E29,VALUE(MID(PRONÓSTICOS!F29,FIND("-",PRONÓSTICOS!F29)+1,10))=RESULTADOS!F29),3,IF(AND(VALUE(LEFT(PRONÓSTICOS!F29,FIND("-",PRONÓSTICOS!F29)-1))-VALUE(MID(PRONÓSTICOS!F29,FIND("-",PRONÓSTICOS!F29)+1,10))=RESULTADOS!E29-RESULTADOS!F29,VALUE(LEFT(PRONÓSTICOS!F29,FIND("-",PRONÓSTICOS!F29)-1))&lt;&gt;RESULTADOS!E29),2,IF(SIGN(VALUE(LEFT(PRONÓSTICOS!F29,FIND("-",PRONÓSTICOS!F29)-1))-VALUE(MID(PRONÓSTICOS!F29,FIND("-",PRONÓSTICOS!F29)+1,10)))=SIGN(RESULTADOS!E29-RESULTADOS!F29),1,0))))</f>
        <v/>
      </c>
      <c r="G28" s="70">
        <f>IF(OR(RESULTADOS!E29="",RESULTADOS!E29=0,RESULTADOS!F29=""),"—",IF(AND(VALUE(LEFT(PRONÓSTICOS!G29,FIND("-",PRONÓSTICOS!G29)-1))=RESULTADOS!E29,VALUE(MID(PRONÓSTICOS!G29,FIND("-",PRONÓSTICOS!G29)+1,10))=RESULTADOS!F29),3,IF(AND(VALUE(LEFT(PRONÓSTICOS!G29,FIND("-",PRONÓSTICOS!G29)-1))-VALUE(MID(PRONÓSTICOS!G29,FIND("-",PRONÓSTICOS!G29)+1,10))=RESULTADOS!E29-RESULTADOS!F29,VALUE(LEFT(PRONÓSTICOS!G29,FIND("-",PRONÓSTICOS!G29)-1))&lt;&gt;RESULTADOS!E29),2,IF(SIGN(VALUE(LEFT(PRONÓSTICOS!G29,FIND("-",PRONÓSTICOS!G29)-1))-VALUE(MID(PRONÓSTICOS!G29,FIND("-",PRONÓSTICOS!G29)+1,10)))=SIGN(RESULTADOS!E29-RESULTADOS!F29),1,0))))</f>
        <v/>
      </c>
      <c r="H28" s="70">
        <f>IF(OR(RESULTADOS!E29="",RESULTADOS!E29=0,RESULTADOS!F29=""),"—",IF(AND(VALUE(LEFT(PRONÓSTICOS!H29,FIND("-",PRONÓSTICOS!H29)-1))=RESULTADOS!E29,VALUE(MID(PRONÓSTICOS!H29,FIND("-",PRONÓSTICOS!H29)+1,10))=RESULTADOS!F29),3,IF(AND(VALUE(LEFT(PRONÓSTICOS!H29,FIND("-",PRONÓSTICOS!H29)-1))-VALUE(MID(PRONÓSTICOS!H29,FIND("-",PRONÓSTICOS!H29)+1,10))=RESULTADOS!E29-RESULTADOS!F29,VALUE(LEFT(PRONÓSTICOS!H29,FIND("-",PRONÓSTICOS!H29)-1))&lt;&gt;RESULTADOS!E29),2,IF(SIGN(VALUE(LEFT(PRONÓSTICOS!H29,FIND("-",PRONÓSTICOS!H29)-1))-VALUE(MID(PRONÓSTICOS!H29,FIND("-",PRONÓSTICOS!H29)+1,10)))=SIGN(RESULTADOS!E29-RESULTADOS!F29),1,0))))</f>
        <v/>
      </c>
      <c r="I28" s="70">
        <f>IF(OR(RESULTADOS!E29="",RESULTADOS!E29=0,RESULTADOS!F29=""),"—",IF(AND(VALUE(LEFT(PRONÓSTICOS!I29,FIND("-",PRONÓSTICOS!I29)-1))=RESULTADOS!E29,VALUE(MID(PRONÓSTICOS!I29,FIND("-",PRONÓSTICOS!I29)+1,10))=RESULTADOS!F29),3,IF(AND(VALUE(LEFT(PRONÓSTICOS!I29,FIND("-",PRONÓSTICOS!I29)-1))-VALUE(MID(PRONÓSTICOS!I29,FIND("-",PRONÓSTICOS!I29)+1,10))=RESULTADOS!E29-RESULTADOS!F29,VALUE(LEFT(PRONÓSTICOS!I29,FIND("-",PRONÓSTICOS!I29)-1))&lt;&gt;RESULTADOS!E29),2,IF(SIGN(VALUE(LEFT(PRONÓSTICOS!I29,FIND("-",PRONÓSTICOS!I29)-1))-VALUE(MID(PRONÓSTICOS!I29,FIND("-",PRONÓSTICOS!I29)+1,10)))=SIGN(RESULTADOS!E29-RESULTADOS!F29),1,0))))</f>
        <v/>
      </c>
      <c r="J28" s="70">
        <f>IF(OR(RESULTADOS!E29="",RESULTADOS!E29=0,RESULTADOS!F29=""),"—",IF(AND(VALUE(LEFT(PRONÓSTICOS!J29,FIND("-",PRONÓSTICOS!J29)-1))=RESULTADOS!E29,VALUE(MID(PRONÓSTICOS!J29,FIND("-",PRONÓSTICOS!J29)+1,10))=RESULTADOS!F29),3,IF(AND(VALUE(LEFT(PRONÓSTICOS!J29,FIND("-",PRONÓSTICOS!J29)-1))-VALUE(MID(PRONÓSTICOS!J29,FIND("-",PRONÓSTICOS!J29)+1,10))=RESULTADOS!E29-RESULTADOS!F29,VALUE(LEFT(PRONÓSTICOS!J29,FIND("-",PRONÓSTICOS!J29)-1))&lt;&gt;RESULTADOS!E29),2,IF(SIGN(VALUE(LEFT(PRONÓSTICOS!J29,FIND("-",PRONÓSTICOS!J29)-1))-VALUE(MID(PRONÓSTICOS!J29,FIND("-",PRONÓSTICOS!J29)+1,10)))=SIGN(RESULTADOS!E29-RESULTADOS!F29),1,0))))</f>
        <v/>
      </c>
      <c r="K28" s="70">
        <f>IF(OR(RESULTADOS!E29="",RESULTADOS!E29=0,RESULTADOS!F29=""),"—",IF(AND(VALUE(LEFT(PRONÓSTICOS!K29,FIND("-",PRONÓSTICOS!K29)-1))=RESULTADOS!E29,VALUE(MID(PRONÓSTICOS!K29,FIND("-",PRONÓSTICOS!K29)+1,10))=RESULTADOS!F29),3,IF(AND(VALUE(LEFT(PRONÓSTICOS!K29,FIND("-",PRONÓSTICOS!K29)-1))-VALUE(MID(PRONÓSTICOS!K29,FIND("-",PRONÓSTICOS!K29)+1,10))=RESULTADOS!E29-RESULTADOS!F29,VALUE(LEFT(PRONÓSTICOS!K29,FIND("-",PRONÓSTICOS!K29)-1))&lt;&gt;RESULTADOS!E29),2,IF(SIGN(VALUE(LEFT(PRONÓSTICOS!K29,FIND("-",PRONÓSTICOS!K29)-1))-VALUE(MID(PRONÓSTICOS!K29,FIND("-",PRONÓSTICOS!K29)+1,10)))=SIGN(RESULTADOS!E29-RESULTADOS!F29),1,0))))</f>
        <v/>
      </c>
      <c r="L28" s="70">
        <f>IF(OR(RESULTADOS!E29="",RESULTADOS!E29=0,RESULTADOS!F29=""),"—",IF(AND(VALUE(LEFT(PRONÓSTICOS!L29,FIND("-",PRONÓSTICOS!L29)-1))=RESULTADOS!E29,VALUE(MID(PRONÓSTICOS!L29,FIND("-",PRONÓSTICOS!L29)+1,10))=RESULTADOS!F29),3,IF(AND(VALUE(LEFT(PRONÓSTICOS!L29,FIND("-",PRONÓSTICOS!L29)-1))-VALUE(MID(PRONÓSTICOS!L29,FIND("-",PRONÓSTICOS!L29)+1,10))=RESULTADOS!E29-RESULTADOS!F29,VALUE(LEFT(PRONÓSTICOS!L29,FIND("-",PRONÓSTICOS!L29)-1))&lt;&gt;RESULTADOS!E29),2,IF(SIGN(VALUE(LEFT(PRONÓSTICOS!L29,FIND("-",PRONÓSTICOS!L29)-1))-VALUE(MID(PRONÓSTICOS!L29,FIND("-",PRONÓSTICOS!L29)+1,10)))=SIGN(RESULTADOS!E29-RESULTADOS!F29),1,0))))</f>
        <v/>
      </c>
    </row>
    <row r="29">
      <c r="A29" s="12" t="n">
        <v>27</v>
      </c>
      <c r="B29" s="12" t="inlineStr">
        <is>
          <t>Rep. Checa vs Turquía</t>
        </is>
      </c>
      <c r="C29" s="12">
        <f>IF(OR(RESULTADOS!E30="",RESULTADOS!E30=0,RESULTADOS!F30=""),"—",IF(AND(VALUE(LEFT(PRONÓSTICOS!C30,FIND("-",PRONÓSTICOS!C30)-1))=RESULTADOS!E30,VALUE(MID(PRONÓSTICOS!C30,FIND("-",PRONÓSTICOS!C30)+1,10))=RESULTADOS!F30),3,IF(AND(VALUE(LEFT(PRONÓSTICOS!C30,FIND("-",PRONÓSTICOS!C30)-1))-VALUE(MID(PRONÓSTICOS!C30,FIND("-",PRONÓSTICOS!C30)+1,10))=RESULTADOS!E30-RESULTADOS!F30,VALUE(LEFT(PRONÓSTICOS!C30,FIND("-",PRONÓSTICOS!C30)-1))&lt;&gt;RESULTADOS!E30),2,IF(SIGN(VALUE(LEFT(PRONÓSTICOS!C30,FIND("-",PRONÓSTICOS!C30)-1))-VALUE(MID(PRONÓSTICOS!C30,FIND("-",PRONÓSTICOS!C30)+1,10)))=SIGN(RESULTADOS!E30-RESULTADOS!F30),1,0))))</f>
        <v/>
      </c>
      <c r="D29" s="12">
        <f>IF(OR(RESULTADOS!E30="",RESULTADOS!E30=0,RESULTADOS!F30=""),"—",IF(AND(VALUE(LEFT(PRONÓSTICOS!D30,FIND("-",PRONÓSTICOS!D30)-1))=RESULTADOS!E30,VALUE(MID(PRONÓSTICOS!D30,FIND("-",PRONÓSTICOS!D30)+1,10))=RESULTADOS!F30),3,IF(AND(VALUE(LEFT(PRONÓSTICOS!D30,FIND("-",PRONÓSTICOS!D30)-1))-VALUE(MID(PRONÓSTICOS!D30,FIND("-",PRONÓSTICOS!D30)+1,10))=RESULTADOS!E30-RESULTADOS!F30,VALUE(LEFT(PRONÓSTICOS!D30,FIND("-",PRONÓSTICOS!D30)-1))&lt;&gt;RESULTADOS!E30),2,IF(SIGN(VALUE(LEFT(PRONÓSTICOS!D30,FIND("-",PRONÓSTICOS!D30)-1))-VALUE(MID(PRONÓSTICOS!D30,FIND("-",PRONÓSTICOS!D30)+1,10)))=SIGN(RESULTADOS!E30-RESULTADOS!F30),1,0))))</f>
        <v/>
      </c>
      <c r="E29" s="12">
        <f>IF(OR(RESULTADOS!E30="",RESULTADOS!E30=0,RESULTADOS!F30=""),"—",IF(AND(VALUE(LEFT(PRONÓSTICOS!E30,FIND("-",PRONÓSTICOS!E30)-1))=RESULTADOS!E30,VALUE(MID(PRONÓSTICOS!E30,FIND("-",PRONÓSTICOS!E30)+1,10))=RESULTADOS!F30),3,IF(AND(VALUE(LEFT(PRONÓSTICOS!E30,FIND("-",PRONÓSTICOS!E30)-1))-VALUE(MID(PRONÓSTICOS!E30,FIND("-",PRONÓSTICOS!E30)+1,10))=RESULTADOS!E30-RESULTADOS!F30,VALUE(LEFT(PRONÓSTICOS!E30,FIND("-",PRONÓSTICOS!E30)-1))&lt;&gt;RESULTADOS!E30),2,IF(SIGN(VALUE(LEFT(PRONÓSTICOS!E30,FIND("-",PRONÓSTICOS!E30)-1))-VALUE(MID(PRONÓSTICOS!E30,FIND("-",PRONÓSTICOS!E30)+1,10)))=SIGN(RESULTADOS!E30-RESULTADOS!F30),1,0))))</f>
        <v/>
      </c>
      <c r="F29" s="12">
        <f>IF(OR(RESULTADOS!E30="",RESULTADOS!E30=0,RESULTADOS!F30=""),"—",IF(AND(VALUE(LEFT(PRONÓSTICOS!F30,FIND("-",PRONÓSTICOS!F30)-1))=RESULTADOS!E30,VALUE(MID(PRONÓSTICOS!F30,FIND("-",PRONÓSTICOS!F30)+1,10))=RESULTADOS!F30),3,IF(AND(VALUE(LEFT(PRONÓSTICOS!F30,FIND("-",PRONÓSTICOS!F30)-1))-VALUE(MID(PRONÓSTICOS!F30,FIND("-",PRONÓSTICOS!F30)+1,10))=RESULTADOS!E30-RESULTADOS!F30,VALUE(LEFT(PRONÓSTICOS!F30,FIND("-",PRONÓSTICOS!F30)-1))&lt;&gt;RESULTADOS!E30),2,IF(SIGN(VALUE(LEFT(PRONÓSTICOS!F30,FIND("-",PRONÓSTICOS!F30)-1))-VALUE(MID(PRONÓSTICOS!F30,FIND("-",PRONÓSTICOS!F30)+1,10)))=SIGN(RESULTADOS!E30-RESULTADOS!F30),1,0))))</f>
        <v/>
      </c>
      <c r="G29" s="12">
        <f>IF(OR(RESULTADOS!E30="",RESULTADOS!E30=0,RESULTADOS!F30=""),"—",IF(AND(VALUE(LEFT(PRONÓSTICOS!G30,FIND("-",PRONÓSTICOS!G30)-1))=RESULTADOS!E30,VALUE(MID(PRONÓSTICOS!G30,FIND("-",PRONÓSTICOS!G30)+1,10))=RESULTADOS!F30),3,IF(AND(VALUE(LEFT(PRONÓSTICOS!G30,FIND("-",PRONÓSTICOS!G30)-1))-VALUE(MID(PRONÓSTICOS!G30,FIND("-",PRONÓSTICOS!G30)+1,10))=RESULTADOS!E30-RESULTADOS!F30,VALUE(LEFT(PRONÓSTICOS!G30,FIND("-",PRONÓSTICOS!G30)-1))&lt;&gt;RESULTADOS!E30),2,IF(SIGN(VALUE(LEFT(PRONÓSTICOS!G30,FIND("-",PRONÓSTICOS!G30)-1))-VALUE(MID(PRONÓSTICOS!G30,FIND("-",PRONÓSTICOS!G30)+1,10)))=SIGN(RESULTADOS!E30-RESULTADOS!F30),1,0))))</f>
        <v/>
      </c>
      <c r="H29" s="12">
        <f>IF(OR(RESULTADOS!E30="",RESULTADOS!E30=0,RESULTADOS!F30=""),"—",IF(AND(VALUE(LEFT(PRONÓSTICOS!H30,FIND("-",PRONÓSTICOS!H30)-1))=RESULTADOS!E30,VALUE(MID(PRONÓSTICOS!H30,FIND("-",PRONÓSTICOS!H30)+1,10))=RESULTADOS!F30),3,IF(AND(VALUE(LEFT(PRONÓSTICOS!H30,FIND("-",PRONÓSTICOS!H30)-1))-VALUE(MID(PRONÓSTICOS!H30,FIND("-",PRONÓSTICOS!H30)+1,10))=RESULTADOS!E30-RESULTADOS!F30,VALUE(LEFT(PRONÓSTICOS!H30,FIND("-",PRONÓSTICOS!H30)-1))&lt;&gt;RESULTADOS!E30),2,IF(SIGN(VALUE(LEFT(PRONÓSTICOS!H30,FIND("-",PRONÓSTICOS!H30)-1))-VALUE(MID(PRONÓSTICOS!H30,FIND("-",PRONÓSTICOS!H30)+1,10)))=SIGN(RESULTADOS!E30-RESULTADOS!F30),1,0))))</f>
        <v/>
      </c>
      <c r="I29" s="12">
        <f>IF(OR(RESULTADOS!E30="",RESULTADOS!E30=0,RESULTADOS!F30=""),"—",IF(AND(VALUE(LEFT(PRONÓSTICOS!I30,FIND("-",PRONÓSTICOS!I30)-1))=RESULTADOS!E30,VALUE(MID(PRONÓSTICOS!I30,FIND("-",PRONÓSTICOS!I30)+1,10))=RESULTADOS!F30),3,IF(AND(VALUE(LEFT(PRONÓSTICOS!I30,FIND("-",PRONÓSTICOS!I30)-1))-VALUE(MID(PRONÓSTICOS!I30,FIND("-",PRONÓSTICOS!I30)+1,10))=RESULTADOS!E30-RESULTADOS!F30,VALUE(LEFT(PRONÓSTICOS!I30,FIND("-",PRONÓSTICOS!I30)-1))&lt;&gt;RESULTADOS!E30),2,IF(SIGN(VALUE(LEFT(PRONÓSTICOS!I30,FIND("-",PRONÓSTICOS!I30)-1))-VALUE(MID(PRONÓSTICOS!I30,FIND("-",PRONÓSTICOS!I30)+1,10)))=SIGN(RESULTADOS!E30-RESULTADOS!F30),1,0))))</f>
        <v/>
      </c>
      <c r="J29" s="12">
        <f>IF(OR(RESULTADOS!E30="",RESULTADOS!E30=0,RESULTADOS!F30=""),"—",IF(AND(VALUE(LEFT(PRONÓSTICOS!J30,FIND("-",PRONÓSTICOS!J30)-1))=RESULTADOS!E30,VALUE(MID(PRONÓSTICOS!J30,FIND("-",PRONÓSTICOS!J30)+1,10))=RESULTADOS!F30),3,IF(AND(VALUE(LEFT(PRONÓSTICOS!J30,FIND("-",PRONÓSTICOS!J30)-1))-VALUE(MID(PRONÓSTICOS!J30,FIND("-",PRONÓSTICOS!J30)+1,10))=RESULTADOS!E30-RESULTADOS!F30,VALUE(LEFT(PRONÓSTICOS!J30,FIND("-",PRONÓSTICOS!J30)-1))&lt;&gt;RESULTADOS!E30),2,IF(SIGN(VALUE(LEFT(PRONÓSTICOS!J30,FIND("-",PRONÓSTICOS!J30)-1))-VALUE(MID(PRONÓSTICOS!J30,FIND("-",PRONÓSTICOS!J30)+1,10)))=SIGN(RESULTADOS!E30-RESULTADOS!F30),1,0))))</f>
        <v/>
      </c>
      <c r="K29" s="12">
        <f>IF(OR(RESULTADOS!E30="",RESULTADOS!E30=0,RESULTADOS!F30=""),"—",IF(AND(VALUE(LEFT(PRONÓSTICOS!K30,FIND("-",PRONÓSTICOS!K30)-1))=RESULTADOS!E30,VALUE(MID(PRONÓSTICOS!K30,FIND("-",PRONÓSTICOS!K30)+1,10))=RESULTADOS!F30),3,IF(AND(VALUE(LEFT(PRONÓSTICOS!K30,FIND("-",PRONÓSTICOS!K30)-1))-VALUE(MID(PRONÓSTICOS!K30,FIND("-",PRONÓSTICOS!K30)+1,10))=RESULTADOS!E30-RESULTADOS!F30,VALUE(LEFT(PRONÓSTICOS!K30,FIND("-",PRONÓSTICOS!K30)-1))&lt;&gt;RESULTADOS!E30),2,IF(SIGN(VALUE(LEFT(PRONÓSTICOS!K30,FIND("-",PRONÓSTICOS!K30)-1))-VALUE(MID(PRONÓSTICOS!K30,FIND("-",PRONÓSTICOS!K30)+1,10)))=SIGN(RESULTADOS!E30-RESULTADOS!F30),1,0))))</f>
        <v/>
      </c>
      <c r="L29" s="12">
        <f>IF(OR(RESULTADOS!E30="",RESULTADOS!E30=0,RESULTADOS!F30=""),"—",IF(AND(VALUE(LEFT(PRONÓSTICOS!L30,FIND("-",PRONÓSTICOS!L30)-1))=RESULTADOS!E30,VALUE(MID(PRONÓSTICOS!L30,FIND("-",PRONÓSTICOS!L30)+1,10))=RESULTADOS!F30),3,IF(AND(VALUE(LEFT(PRONÓSTICOS!L30,FIND("-",PRONÓSTICOS!L30)-1))-VALUE(MID(PRONÓSTICOS!L30,FIND("-",PRONÓSTICOS!L30)+1,10))=RESULTADOS!E30-RESULTADOS!F30,VALUE(LEFT(PRONÓSTICOS!L30,FIND("-",PRONÓSTICOS!L30)-1))&lt;&gt;RESULTADOS!E30),2,IF(SIGN(VALUE(LEFT(PRONÓSTICOS!L30,FIND("-",PRONÓSTICOS!L30)-1))-VALUE(MID(PRONÓSTICOS!L30,FIND("-",PRONÓSTICOS!L30)+1,10)))=SIGN(RESULTADOS!E30-RESULTADOS!F30),1,0))))</f>
        <v/>
      </c>
    </row>
    <row r="30">
      <c r="A30" s="70" t="n">
        <v>28</v>
      </c>
      <c r="B30" s="70" t="inlineStr">
        <is>
          <t>Polonia vs Austria</t>
        </is>
      </c>
      <c r="C30" s="70">
        <f>IF(OR(RESULTADOS!E31="",RESULTADOS!E31=0,RESULTADOS!F31=""),"—",IF(AND(VALUE(LEFT(PRONÓSTICOS!C31,FIND("-",PRONÓSTICOS!C31)-1))=RESULTADOS!E31,VALUE(MID(PRONÓSTICOS!C31,FIND("-",PRONÓSTICOS!C31)+1,10))=RESULTADOS!F31),3,IF(AND(VALUE(LEFT(PRONÓSTICOS!C31,FIND("-",PRONÓSTICOS!C31)-1))-VALUE(MID(PRONÓSTICOS!C31,FIND("-",PRONÓSTICOS!C31)+1,10))=RESULTADOS!E31-RESULTADOS!F31,VALUE(LEFT(PRONÓSTICOS!C31,FIND("-",PRONÓSTICOS!C31)-1))&lt;&gt;RESULTADOS!E31),2,IF(SIGN(VALUE(LEFT(PRONÓSTICOS!C31,FIND("-",PRONÓSTICOS!C31)-1))-VALUE(MID(PRONÓSTICOS!C31,FIND("-",PRONÓSTICOS!C31)+1,10)))=SIGN(RESULTADOS!E31-RESULTADOS!F31),1,0))))</f>
        <v/>
      </c>
      <c r="D30" s="70">
        <f>IF(OR(RESULTADOS!E31="",RESULTADOS!E31=0,RESULTADOS!F31=""),"—",IF(AND(VALUE(LEFT(PRONÓSTICOS!D31,FIND("-",PRONÓSTICOS!D31)-1))=RESULTADOS!E31,VALUE(MID(PRONÓSTICOS!D31,FIND("-",PRONÓSTICOS!D31)+1,10))=RESULTADOS!F31),3,IF(AND(VALUE(LEFT(PRONÓSTICOS!D31,FIND("-",PRONÓSTICOS!D31)-1))-VALUE(MID(PRONÓSTICOS!D31,FIND("-",PRONÓSTICOS!D31)+1,10))=RESULTADOS!E31-RESULTADOS!F31,VALUE(LEFT(PRONÓSTICOS!D31,FIND("-",PRONÓSTICOS!D31)-1))&lt;&gt;RESULTADOS!E31),2,IF(SIGN(VALUE(LEFT(PRONÓSTICOS!D31,FIND("-",PRONÓSTICOS!D31)-1))-VALUE(MID(PRONÓSTICOS!D31,FIND("-",PRONÓSTICOS!D31)+1,10)))=SIGN(RESULTADOS!E31-RESULTADOS!F31),1,0))))</f>
        <v/>
      </c>
      <c r="E30" s="70">
        <f>IF(OR(RESULTADOS!E31="",RESULTADOS!E31=0,RESULTADOS!F31=""),"—",IF(AND(VALUE(LEFT(PRONÓSTICOS!E31,FIND("-",PRONÓSTICOS!E31)-1))=RESULTADOS!E31,VALUE(MID(PRONÓSTICOS!E31,FIND("-",PRONÓSTICOS!E31)+1,10))=RESULTADOS!F31),3,IF(AND(VALUE(LEFT(PRONÓSTICOS!E31,FIND("-",PRONÓSTICOS!E31)-1))-VALUE(MID(PRONÓSTICOS!E31,FIND("-",PRONÓSTICOS!E31)+1,10))=RESULTADOS!E31-RESULTADOS!F31,VALUE(LEFT(PRONÓSTICOS!E31,FIND("-",PRONÓSTICOS!E31)-1))&lt;&gt;RESULTADOS!E31),2,IF(SIGN(VALUE(LEFT(PRONÓSTICOS!E31,FIND("-",PRONÓSTICOS!E31)-1))-VALUE(MID(PRONÓSTICOS!E31,FIND("-",PRONÓSTICOS!E31)+1,10)))=SIGN(RESULTADOS!E31-RESULTADOS!F31),1,0))))</f>
        <v/>
      </c>
      <c r="F30" s="70">
        <f>IF(OR(RESULTADOS!E31="",RESULTADOS!E31=0,RESULTADOS!F31=""),"—",IF(AND(VALUE(LEFT(PRONÓSTICOS!F31,FIND("-",PRONÓSTICOS!F31)-1))=RESULTADOS!E31,VALUE(MID(PRONÓSTICOS!F31,FIND("-",PRONÓSTICOS!F31)+1,10))=RESULTADOS!F31),3,IF(AND(VALUE(LEFT(PRONÓSTICOS!F31,FIND("-",PRONÓSTICOS!F31)-1))-VALUE(MID(PRONÓSTICOS!F31,FIND("-",PRONÓSTICOS!F31)+1,10))=RESULTADOS!E31-RESULTADOS!F31,VALUE(LEFT(PRONÓSTICOS!F31,FIND("-",PRONÓSTICOS!F31)-1))&lt;&gt;RESULTADOS!E31),2,IF(SIGN(VALUE(LEFT(PRONÓSTICOS!F31,FIND("-",PRONÓSTICOS!F31)-1))-VALUE(MID(PRONÓSTICOS!F31,FIND("-",PRONÓSTICOS!F31)+1,10)))=SIGN(RESULTADOS!E31-RESULTADOS!F31),1,0))))</f>
        <v/>
      </c>
      <c r="G30" s="70">
        <f>IF(OR(RESULTADOS!E31="",RESULTADOS!E31=0,RESULTADOS!F31=""),"—",IF(AND(VALUE(LEFT(PRONÓSTICOS!G31,FIND("-",PRONÓSTICOS!G31)-1))=RESULTADOS!E31,VALUE(MID(PRONÓSTICOS!G31,FIND("-",PRONÓSTICOS!G31)+1,10))=RESULTADOS!F31),3,IF(AND(VALUE(LEFT(PRONÓSTICOS!G31,FIND("-",PRONÓSTICOS!G31)-1))-VALUE(MID(PRONÓSTICOS!G31,FIND("-",PRONÓSTICOS!G31)+1,10))=RESULTADOS!E31-RESULTADOS!F31,VALUE(LEFT(PRONÓSTICOS!G31,FIND("-",PRONÓSTICOS!G31)-1))&lt;&gt;RESULTADOS!E31),2,IF(SIGN(VALUE(LEFT(PRONÓSTICOS!G31,FIND("-",PRONÓSTICOS!G31)-1))-VALUE(MID(PRONÓSTICOS!G31,FIND("-",PRONÓSTICOS!G31)+1,10)))=SIGN(RESULTADOS!E31-RESULTADOS!F31),1,0))))</f>
        <v/>
      </c>
      <c r="H30" s="70">
        <f>IF(OR(RESULTADOS!E31="",RESULTADOS!E31=0,RESULTADOS!F31=""),"—",IF(AND(VALUE(LEFT(PRONÓSTICOS!H31,FIND("-",PRONÓSTICOS!H31)-1))=RESULTADOS!E31,VALUE(MID(PRONÓSTICOS!H31,FIND("-",PRONÓSTICOS!H31)+1,10))=RESULTADOS!F31),3,IF(AND(VALUE(LEFT(PRONÓSTICOS!H31,FIND("-",PRONÓSTICOS!H31)-1))-VALUE(MID(PRONÓSTICOS!H31,FIND("-",PRONÓSTICOS!H31)+1,10))=RESULTADOS!E31-RESULTADOS!F31,VALUE(LEFT(PRONÓSTICOS!H31,FIND("-",PRONÓSTICOS!H31)-1))&lt;&gt;RESULTADOS!E31),2,IF(SIGN(VALUE(LEFT(PRONÓSTICOS!H31,FIND("-",PRONÓSTICOS!H31)-1))-VALUE(MID(PRONÓSTICOS!H31,FIND("-",PRONÓSTICOS!H31)+1,10)))=SIGN(RESULTADOS!E31-RESULTADOS!F31),1,0))))</f>
        <v/>
      </c>
      <c r="I30" s="70">
        <f>IF(OR(RESULTADOS!E31="",RESULTADOS!E31=0,RESULTADOS!F31=""),"—",IF(AND(VALUE(LEFT(PRONÓSTICOS!I31,FIND("-",PRONÓSTICOS!I31)-1))=RESULTADOS!E31,VALUE(MID(PRONÓSTICOS!I31,FIND("-",PRONÓSTICOS!I31)+1,10))=RESULTADOS!F31),3,IF(AND(VALUE(LEFT(PRONÓSTICOS!I31,FIND("-",PRONÓSTICOS!I31)-1))-VALUE(MID(PRONÓSTICOS!I31,FIND("-",PRONÓSTICOS!I31)+1,10))=RESULTADOS!E31-RESULTADOS!F31,VALUE(LEFT(PRONÓSTICOS!I31,FIND("-",PRONÓSTICOS!I31)-1))&lt;&gt;RESULTADOS!E31),2,IF(SIGN(VALUE(LEFT(PRONÓSTICOS!I31,FIND("-",PRONÓSTICOS!I31)-1))-VALUE(MID(PRONÓSTICOS!I31,FIND("-",PRONÓSTICOS!I31)+1,10)))=SIGN(RESULTADOS!E31-RESULTADOS!F31),1,0))))</f>
        <v/>
      </c>
      <c r="J30" s="70">
        <f>IF(OR(RESULTADOS!E31="",RESULTADOS!E31=0,RESULTADOS!F31=""),"—",IF(AND(VALUE(LEFT(PRONÓSTICOS!J31,FIND("-",PRONÓSTICOS!J31)-1))=RESULTADOS!E31,VALUE(MID(PRONÓSTICOS!J31,FIND("-",PRONÓSTICOS!J31)+1,10))=RESULTADOS!F31),3,IF(AND(VALUE(LEFT(PRONÓSTICOS!J31,FIND("-",PRONÓSTICOS!J31)-1))-VALUE(MID(PRONÓSTICOS!J31,FIND("-",PRONÓSTICOS!J31)+1,10))=RESULTADOS!E31-RESULTADOS!F31,VALUE(LEFT(PRONÓSTICOS!J31,FIND("-",PRONÓSTICOS!J31)-1))&lt;&gt;RESULTADOS!E31),2,IF(SIGN(VALUE(LEFT(PRONÓSTICOS!J31,FIND("-",PRONÓSTICOS!J31)-1))-VALUE(MID(PRONÓSTICOS!J31,FIND("-",PRONÓSTICOS!J31)+1,10)))=SIGN(RESULTADOS!E31-RESULTADOS!F31),1,0))))</f>
        <v/>
      </c>
      <c r="K30" s="70">
        <f>IF(OR(RESULTADOS!E31="",RESULTADOS!E31=0,RESULTADOS!F31=""),"—",IF(AND(VALUE(LEFT(PRONÓSTICOS!K31,FIND("-",PRONÓSTICOS!K31)-1))=RESULTADOS!E31,VALUE(MID(PRONÓSTICOS!K31,FIND("-",PRONÓSTICOS!K31)+1,10))=RESULTADOS!F31),3,IF(AND(VALUE(LEFT(PRONÓSTICOS!K31,FIND("-",PRONÓSTICOS!K31)-1))-VALUE(MID(PRONÓSTICOS!K31,FIND("-",PRONÓSTICOS!K31)+1,10))=RESULTADOS!E31-RESULTADOS!F31,VALUE(LEFT(PRONÓSTICOS!K31,FIND("-",PRONÓSTICOS!K31)-1))&lt;&gt;RESULTADOS!E31),2,IF(SIGN(VALUE(LEFT(PRONÓSTICOS!K31,FIND("-",PRONÓSTICOS!K31)-1))-VALUE(MID(PRONÓSTICOS!K31,FIND("-",PRONÓSTICOS!K31)+1,10)))=SIGN(RESULTADOS!E31-RESULTADOS!F31),1,0))))</f>
        <v/>
      </c>
      <c r="L30" s="70">
        <f>IF(OR(RESULTADOS!E31="",RESULTADOS!E31=0,RESULTADOS!F31=""),"—",IF(AND(VALUE(LEFT(PRONÓSTICOS!L31,FIND("-",PRONÓSTICOS!L31)-1))=RESULTADOS!E31,VALUE(MID(PRONÓSTICOS!L31,FIND("-",PRONÓSTICOS!L31)+1,10))=RESULTADOS!F31),3,IF(AND(VALUE(LEFT(PRONÓSTICOS!L31,FIND("-",PRONÓSTICOS!L31)-1))-VALUE(MID(PRONÓSTICOS!L31,FIND("-",PRONÓSTICOS!L31)+1,10))=RESULTADOS!E31-RESULTADOS!F31,VALUE(LEFT(PRONÓSTICOS!L31,FIND("-",PRONÓSTICOS!L31)-1))&lt;&gt;RESULTADOS!E31),2,IF(SIGN(VALUE(LEFT(PRONÓSTICOS!L31,FIND("-",PRONÓSTICOS!L31)-1))-VALUE(MID(PRONÓSTICOS!L31,FIND("-",PRONÓSTICOS!L31)+1,10)))=SIGN(RESULTADOS!E31-RESULTADOS!F31),1,0))))</f>
        <v/>
      </c>
    </row>
    <row r="31">
      <c r="A31" s="12" t="n">
        <v>29</v>
      </c>
      <c r="B31" s="12" t="inlineStr">
        <is>
          <t>Rumania vs Polonia</t>
        </is>
      </c>
      <c r="C31" s="12">
        <f>IF(OR(RESULTADOS!E32="",RESULTADOS!E32=0,RESULTADOS!F32=""),"—",IF(AND(VALUE(LEFT(PRONÓSTICOS!C32,FIND("-",PRONÓSTICOS!C32)-1))=RESULTADOS!E32,VALUE(MID(PRONÓSTICOS!C32,FIND("-",PRONÓSTICOS!C32)+1,10))=RESULTADOS!F32),3,IF(AND(VALUE(LEFT(PRONÓSTICOS!C32,FIND("-",PRONÓSTICOS!C32)-1))-VALUE(MID(PRONÓSTICOS!C32,FIND("-",PRONÓSTICOS!C32)+1,10))=RESULTADOS!E32-RESULTADOS!F32,VALUE(LEFT(PRONÓSTICOS!C32,FIND("-",PRONÓSTICOS!C32)-1))&lt;&gt;RESULTADOS!E32),2,IF(SIGN(VALUE(LEFT(PRONÓSTICOS!C32,FIND("-",PRONÓSTICOS!C32)-1))-VALUE(MID(PRONÓSTICOS!C32,FIND("-",PRONÓSTICOS!C32)+1,10)))=SIGN(RESULTADOS!E32-RESULTADOS!F32),1,0))))</f>
        <v/>
      </c>
      <c r="D31" s="12">
        <f>IF(OR(RESULTADOS!E32="",RESULTADOS!E32=0,RESULTADOS!F32=""),"—",IF(AND(VALUE(LEFT(PRONÓSTICOS!D32,FIND("-",PRONÓSTICOS!D32)-1))=RESULTADOS!E32,VALUE(MID(PRONÓSTICOS!D32,FIND("-",PRONÓSTICOS!D32)+1,10))=RESULTADOS!F32),3,IF(AND(VALUE(LEFT(PRONÓSTICOS!D32,FIND("-",PRONÓSTICOS!D32)-1))-VALUE(MID(PRONÓSTICOS!D32,FIND("-",PRONÓSTICOS!D32)+1,10))=RESULTADOS!E32-RESULTADOS!F32,VALUE(LEFT(PRONÓSTICOS!D32,FIND("-",PRONÓSTICOS!D32)-1))&lt;&gt;RESULTADOS!E32),2,IF(SIGN(VALUE(LEFT(PRONÓSTICOS!D32,FIND("-",PRONÓSTICOS!D32)-1))-VALUE(MID(PRONÓSTICOS!D32,FIND("-",PRONÓSTICOS!D32)+1,10)))=SIGN(RESULTADOS!E32-RESULTADOS!F32),1,0))))</f>
        <v/>
      </c>
      <c r="E31" s="12">
        <f>IF(OR(RESULTADOS!E32="",RESULTADOS!E32=0,RESULTADOS!F32=""),"—",IF(AND(VALUE(LEFT(PRONÓSTICOS!E32,FIND("-",PRONÓSTICOS!E32)-1))=RESULTADOS!E32,VALUE(MID(PRONÓSTICOS!E32,FIND("-",PRONÓSTICOS!E32)+1,10))=RESULTADOS!F32),3,IF(AND(VALUE(LEFT(PRONÓSTICOS!E32,FIND("-",PRONÓSTICOS!E32)-1))-VALUE(MID(PRONÓSTICOS!E32,FIND("-",PRONÓSTICOS!E32)+1,10))=RESULTADOS!E32-RESULTADOS!F32,VALUE(LEFT(PRONÓSTICOS!E32,FIND("-",PRONÓSTICOS!E32)-1))&lt;&gt;RESULTADOS!E32),2,IF(SIGN(VALUE(LEFT(PRONÓSTICOS!E32,FIND("-",PRONÓSTICOS!E32)-1))-VALUE(MID(PRONÓSTICOS!E32,FIND("-",PRONÓSTICOS!E32)+1,10)))=SIGN(RESULTADOS!E32-RESULTADOS!F32),1,0))))</f>
        <v/>
      </c>
      <c r="F31" s="12">
        <f>IF(OR(RESULTADOS!E32="",RESULTADOS!E32=0,RESULTADOS!F32=""),"—",IF(AND(VALUE(LEFT(PRONÓSTICOS!F32,FIND("-",PRONÓSTICOS!F32)-1))=RESULTADOS!E32,VALUE(MID(PRONÓSTICOS!F32,FIND("-",PRONÓSTICOS!F32)+1,10))=RESULTADOS!F32),3,IF(AND(VALUE(LEFT(PRONÓSTICOS!F32,FIND("-",PRONÓSTICOS!F32)-1))-VALUE(MID(PRONÓSTICOS!F32,FIND("-",PRONÓSTICOS!F32)+1,10))=RESULTADOS!E32-RESULTADOS!F32,VALUE(LEFT(PRONÓSTICOS!F32,FIND("-",PRONÓSTICOS!F32)-1))&lt;&gt;RESULTADOS!E32),2,IF(SIGN(VALUE(LEFT(PRONÓSTICOS!F32,FIND("-",PRONÓSTICOS!F32)-1))-VALUE(MID(PRONÓSTICOS!F32,FIND("-",PRONÓSTICOS!F32)+1,10)))=SIGN(RESULTADOS!E32-RESULTADOS!F32),1,0))))</f>
        <v/>
      </c>
      <c r="G31" s="12">
        <f>IF(OR(RESULTADOS!E32="",RESULTADOS!E32=0,RESULTADOS!F32=""),"—",IF(AND(VALUE(LEFT(PRONÓSTICOS!G32,FIND("-",PRONÓSTICOS!G32)-1))=RESULTADOS!E32,VALUE(MID(PRONÓSTICOS!G32,FIND("-",PRONÓSTICOS!G32)+1,10))=RESULTADOS!F32),3,IF(AND(VALUE(LEFT(PRONÓSTICOS!G32,FIND("-",PRONÓSTICOS!G32)-1))-VALUE(MID(PRONÓSTICOS!G32,FIND("-",PRONÓSTICOS!G32)+1,10))=RESULTADOS!E32-RESULTADOS!F32,VALUE(LEFT(PRONÓSTICOS!G32,FIND("-",PRONÓSTICOS!G32)-1))&lt;&gt;RESULTADOS!E32),2,IF(SIGN(VALUE(LEFT(PRONÓSTICOS!G32,FIND("-",PRONÓSTICOS!G32)-1))-VALUE(MID(PRONÓSTICOS!G32,FIND("-",PRONÓSTICOS!G32)+1,10)))=SIGN(RESULTADOS!E32-RESULTADOS!F32),1,0))))</f>
        <v/>
      </c>
      <c r="H31" s="12">
        <f>IF(OR(RESULTADOS!E32="",RESULTADOS!E32=0,RESULTADOS!F32=""),"—",IF(AND(VALUE(LEFT(PRONÓSTICOS!H32,FIND("-",PRONÓSTICOS!H32)-1))=RESULTADOS!E32,VALUE(MID(PRONÓSTICOS!H32,FIND("-",PRONÓSTICOS!H32)+1,10))=RESULTADOS!F32),3,IF(AND(VALUE(LEFT(PRONÓSTICOS!H32,FIND("-",PRONÓSTICOS!H32)-1))-VALUE(MID(PRONÓSTICOS!H32,FIND("-",PRONÓSTICOS!H32)+1,10))=RESULTADOS!E32-RESULTADOS!F32,VALUE(LEFT(PRONÓSTICOS!H32,FIND("-",PRONÓSTICOS!H32)-1))&lt;&gt;RESULTADOS!E32),2,IF(SIGN(VALUE(LEFT(PRONÓSTICOS!H32,FIND("-",PRONÓSTICOS!H32)-1))-VALUE(MID(PRONÓSTICOS!H32,FIND("-",PRONÓSTICOS!H32)+1,10)))=SIGN(RESULTADOS!E32-RESULTADOS!F32),1,0))))</f>
        <v/>
      </c>
      <c r="I31" s="12">
        <f>IF(OR(RESULTADOS!E32="",RESULTADOS!E32=0,RESULTADOS!F32=""),"—",IF(AND(VALUE(LEFT(PRONÓSTICOS!I32,FIND("-",PRONÓSTICOS!I32)-1))=RESULTADOS!E32,VALUE(MID(PRONÓSTICOS!I32,FIND("-",PRONÓSTICOS!I32)+1,10))=RESULTADOS!F32),3,IF(AND(VALUE(LEFT(PRONÓSTICOS!I32,FIND("-",PRONÓSTICOS!I32)-1))-VALUE(MID(PRONÓSTICOS!I32,FIND("-",PRONÓSTICOS!I32)+1,10))=RESULTADOS!E32-RESULTADOS!F32,VALUE(LEFT(PRONÓSTICOS!I32,FIND("-",PRONÓSTICOS!I32)-1))&lt;&gt;RESULTADOS!E32),2,IF(SIGN(VALUE(LEFT(PRONÓSTICOS!I32,FIND("-",PRONÓSTICOS!I32)-1))-VALUE(MID(PRONÓSTICOS!I32,FIND("-",PRONÓSTICOS!I32)+1,10)))=SIGN(RESULTADOS!E32-RESULTADOS!F32),1,0))))</f>
        <v/>
      </c>
      <c r="J31" s="12">
        <f>IF(OR(RESULTADOS!E32="",RESULTADOS!E32=0,RESULTADOS!F32=""),"—",IF(AND(VALUE(LEFT(PRONÓSTICOS!J32,FIND("-",PRONÓSTICOS!J32)-1))=RESULTADOS!E32,VALUE(MID(PRONÓSTICOS!J32,FIND("-",PRONÓSTICOS!J32)+1,10))=RESULTADOS!F32),3,IF(AND(VALUE(LEFT(PRONÓSTICOS!J32,FIND("-",PRONÓSTICOS!J32)-1))-VALUE(MID(PRONÓSTICOS!J32,FIND("-",PRONÓSTICOS!J32)+1,10))=RESULTADOS!E32-RESULTADOS!F32,VALUE(LEFT(PRONÓSTICOS!J32,FIND("-",PRONÓSTICOS!J32)-1))&lt;&gt;RESULTADOS!E32),2,IF(SIGN(VALUE(LEFT(PRONÓSTICOS!J32,FIND("-",PRONÓSTICOS!J32)-1))-VALUE(MID(PRONÓSTICOS!J32,FIND("-",PRONÓSTICOS!J32)+1,10)))=SIGN(RESULTADOS!E32-RESULTADOS!F32),1,0))))</f>
        <v/>
      </c>
      <c r="K31" s="12">
        <f>IF(OR(RESULTADOS!E32="",RESULTADOS!E32=0,RESULTADOS!F32=""),"—",IF(AND(VALUE(LEFT(PRONÓSTICOS!K32,FIND("-",PRONÓSTICOS!K32)-1))=RESULTADOS!E32,VALUE(MID(PRONÓSTICOS!K32,FIND("-",PRONÓSTICOS!K32)+1,10))=RESULTADOS!F32),3,IF(AND(VALUE(LEFT(PRONÓSTICOS!K32,FIND("-",PRONÓSTICOS!K32)-1))-VALUE(MID(PRONÓSTICOS!K32,FIND("-",PRONÓSTICOS!K32)+1,10))=RESULTADOS!E32-RESULTADOS!F32,VALUE(LEFT(PRONÓSTICOS!K32,FIND("-",PRONÓSTICOS!K32)-1))&lt;&gt;RESULTADOS!E32),2,IF(SIGN(VALUE(LEFT(PRONÓSTICOS!K32,FIND("-",PRONÓSTICOS!K32)-1))-VALUE(MID(PRONÓSTICOS!K32,FIND("-",PRONÓSTICOS!K32)+1,10)))=SIGN(RESULTADOS!E32-RESULTADOS!F32),1,0))))</f>
        <v/>
      </c>
      <c r="L31" s="12">
        <f>IF(OR(RESULTADOS!E32="",RESULTADOS!E32=0,RESULTADOS!F32=""),"—",IF(AND(VALUE(LEFT(PRONÓSTICOS!L32,FIND("-",PRONÓSTICOS!L32)-1))=RESULTADOS!E32,VALUE(MID(PRONÓSTICOS!L32,FIND("-",PRONÓSTICOS!L32)+1,10))=RESULTADOS!F32),3,IF(AND(VALUE(LEFT(PRONÓSTICOS!L32,FIND("-",PRONÓSTICOS!L32)-1))-VALUE(MID(PRONÓSTICOS!L32,FIND("-",PRONÓSTICOS!L32)+1,10))=RESULTADOS!E32-RESULTADOS!F32,VALUE(LEFT(PRONÓSTICOS!L32,FIND("-",PRONÓSTICOS!L32)-1))&lt;&gt;RESULTADOS!E32),2,IF(SIGN(VALUE(LEFT(PRONÓSTICOS!L32,FIND("-",PRONÓSTICOS!L32)-1))-VALUE(MID(PRONÓSTICOS!L32,FIND("-",PRONÓSTICOS!L32)+1,10)))=SIGN(RESULTADOS!E32-RESULTADOS!F32),1,0))))</f>
        <v/>
      </c>
    </row>
    <row r="32">
      <c r="A32" s="70" t="n">
        <v>30</v>
      </c>
      <c r="B32" s="70" t="inlineStr">
        <is>
          <t>Austria vs Rumania</t>
        </is>
      </c>
      <c r="C32" s="70">
        <f>IF(OR(RESULTADOS!E33="",RESULTADOS!E33=0,RESULTADOS!F33=""),"—",IF(AND(VALUE(LEFT(PRONÓSTICOS!C33,FIND("-",PRONÓSTICOS!C33)-1))=RESULTADOS!E33,VALUE(MID(PRONÓSTICOS!C33,FIND("-",PRONÓSTICOS!C33)+1,10))=RESULTADOS!F33),3,IF(AND(VALUE(LEFT(PRONÓSTICOS!C33,FIND("-",PRONÓSTICOS!C33)-1))-VALUE(MID(PRONÓSTICOS!C33,FIND("-",PRONÓSTICOS!C33)+1,10))=RESULTADOS!E33-RESULTADOS!F33,VALUE(LEFT(PRONÓSTICOS!C33,FIND("-",PRONÓSTICOS!C33)-1))&lt;&gt;RESULTADOS!E33),2,IF(SIGN(VALUE(LEFT(PRONÓSTICOS!C33,FIND("-",PRONÓSTICOS!C33)-1))-VALUE(MID(PRONÓSTICOS!C33,FIND("-",PRONÓSTICOS!C33)+1,10)))=SIGN(RESULTADOS!E33-RESULTADOS!F33),1,0))))</f>
        <v/>
      </c>
      <c r="D32" s="70">
        <f>IF(OR(RESULTADOS!E33="",RESULTADOS!E33=0,RESULTADOS!F33=""),"—",IF(AND(VALUE(LEFT(PRONÓSTICOS!D33,FIND("-",PRONÓSTICOS!D33)-1))=RESULTADOS!E33,VALUE(MID(PRONÓSTICOS!D33,FIND("-",PRONÓSTICOS!D33)+1,10))=RESULTADOS!F33),3,IF(AND(VALUE(LEFT(PRONÓSTICOS!D33,FIND("-",PRONÓSTICOS!D33)-1))-VALUE(MID(PRONÓSTICOS!D33,FIND("-",PRONÓSTICOS!D33)+1,10))=RESULTADOS!E33-RESULTADOS!F33,VALUE(LEFT(PRONÓSTICOS!D33,FIND("-",PRONÓSTICOS!D33)-1))&lt;&gt;RESULTADOS!E33),2,IF(SIGN(VALUE(LEFT(PRONÓSTICOS!D33,FIND("-",PRONÓSTICOS!D33)-1))-VALUE(MID(PRONÓSTICOS!D33,FIND("-",PRONÓSTICOS!D33)+1,10)))=SIGN(RESULTADOS!E33-RESULTADOS!F33),1,0))))</f>
        <v/>
      </c>
      <c r="E32" s="70">
        <f>IF(OR(RESULTADOS!E33="",RESULTADOS!E33=0,RESULTADOS!F33=""),"—",IF(AND(VALUE(LEFT(PRONÓSTICOS!E33,FIND("-",PRONÓSTICOS!E33)-1))=RESULTADOS!E33,VALUE(MID(PRONÓSTICOS!E33,FIND("-",PRONÓSTICOS!E33)+1,10))=RESULTADOS!F33),3,IF(AND(VALUE(LEFT(PRONÓSTICOS!E33,FIND("-",PRONÓSTICOS!E33)-1))-VALUE(MID(PRONÓSTICOS!E33,FIND("-",PRONÓSTICOS!E33)+1,10))=RESULTADOS!E33-RESULTADOS!F33,VALUE(LEFT(PRONÓSTICOS!E33,FIND("-",PRONÓSTICOS!E33)-1))&lt;&gt;RESULTADOS!E33),2,IF(SIGN(VALUE(LEFT(PRONÓSTICOS!E33,FIND("-",PRONÓSTICOS!E33)-1))-VALUE(MID(PRONÓSTICOS!E33,FIND("-",PRONÓSTICOS!E33)+1,10)))=SIGN(RESULTADOS!E33-RESULTADOS!F33),1,0))))</f>
        <v/>
      </c>
      <c r="F32" s="70">
        <f>IF(OR(RESULTADOS!E33="",RESULTADOS!E33=0,RESULTADOS!F33=""),"—",IF(AND(VALUE(LEFT(PRONÓSTICOS!F33,FIND("-",PRONÓSTICOS!F33)-1))=RESULTADOS!E33,VALUE(MID(PRONÓSTICOS!F33,FIND("-",PRONÓSTICOS!F33)+1,10))=RESULTADOS!F33),3,IF(AND(VALUE(LEFT(PRONÓSTICOS!F33,FIND("-",PRONÓSTICOS!F33)-1))-VALUE(MID(PRONÓSTICOS!F33,FIND("-",PRONÓSTICOS!F33)+1,10))=RESULTADOS!E33-RESULTADOS!F33,VALUE(LEFT(PRONÓSTICOS!F33,FIND("-",PRONÓSTICOS!F33)-1))&lt;&gt;RESULTADOS!E33),2,IF(SIGN(VALUE(LEFT(PRONÓSTICOS!F33,FIND("-",PRONÓSTICOS!F33)-1))-VALUE(MID(PRONÓSTICOS!F33,FIND("-",PRONÓSTICOS!F33)+1,10)))=SIGN(RESULTADOS!E33-RESULTADOS!F33),1,0))))</f>
        <v/>
      </c>
      <c r="G32" s="70">
        <f>IF(OR(RESULTADOS!E33="",RESULTADOS!E33=0,RESULTADOS!F33=""),"—",IF(AND(VALUE(LEFT(PRONÓSTICOS!G33,FIND("-",PRONÓSTICOS!G33)-1))=RESULTADOS!E33,VALUE(MID(PRONÓSTICOS!G33,FIND("-",PRONÓSTICOS!G33)+1,10))=RESULTADOS!F33),3,IF(AND(VALUE(LEFT(PRONÓSTICOS!G33,FIND("-",PRONÓSTICOS!G33)-1))-VALUE(MID(PRONÓSTICOS!G33,FIND("-",PRONÓSTICOS!G33)+1,10))=RESULTADOS!E33-RESULTADOS!F33,VALUE(LEFT(PRONÓSTICOS!G33,FIND("-",PRONÓSTICOS!G33)-1))&lt;&gt;RESULTADOS!E33),2,IF(SIGN(VALUE(LEFT(PRONÓSTICOS!G33,FIND("-",PRONÓSTICOS!G33)-1))-VALUE(MID(PRONÓSTICOS!G33,FIND("-",PRONÓSTICOS!G33)+1,10)))=SIGN(RESULTADOS!E33-RESULTADOS!F33),1,0))))</f>
        <v/>
      </c>
      <c r="H32" s="70">
        <f>IF(OR(RESULTADOS!E33="",RESULTADOS!E33=0,RESULTADOS!F33=""),"—",IF(AND(VALUE(LEFT(PRONÓSTICOS!H33,FIND("-",PRONÓSTICOS!H33)-1))=RESULTADOS!E33,VALUE(MID(PRONÓSTICOS!H33,FIND("-",PRONÓSTICOS!H33)+1,10))=RESULTADOS!F33),3,IF(AND(VALUE(LEFT(PRONÓSTICOS!H33,FIND("-",PRONÓSTICOS!H33)-1))-VALUE(MID(PRONÓSTICOS!H33,FIND("-",PRONÓSTICOS!H33)+1,10))=RESULTADOS!E33-RESULTADOS!F33,VALUE(LEFT(PRONÓSTICOS!H33,FIND("-",PRONÓSTICOS!H33)-1))&lt;&gt;RESULTADOS!E33),2,IF(SIGN(VALUE(LEFT(PRONÓSTICOS!H33,FIND("-",PRONÓSTICOS!H33)-1))-VALUE(MID(PRONÓSTICOS!H33,FIND("-",PRONÓSTICOS!H33)+1,10)))=SIGN(RESULTADOS!E33-RESULTADOS!F33),1,0))))</f>
        <v/>
      </c>
      <c r="I32" s="70">
        <f>IF(OR(RESULTADOS!E33="",RESULTADOS!E33=0,RESULTADOS!F33=""),"—",IF(AND(VALUE(LEFT(PRONÓSTICOS!I33,FIND("-",PRONÓSTICOS!I33)-1))=RESULTADOS!E33,VALUE(MID(PRONÓSTICOS!I33,FIND("-",PRONÓSTICOS!I33)+1,10))=RESULTADOS!F33),3,IF(AND(VALUE(LEFT(PRONÓSTICOS!I33,FIND("-",PRONÓSTICOS!I33)-1))-VALUE(MID(PRONÓSTICOS!I33,FIND("-",PRONÓSTICOS!I33)+1,10))=RESULTADOS!E33-RESULTADOS!F33,VALUE(LEFT(PRONÓSTICOS!I33,FIND("-",PRONÓSTICOS!I33)-1))&lt;&gt;RESULTADOS!E33),2,IF(SIGN(VALUE(LEFT(PRONÓSTICOS!I33,FIND("-",PRONÓSTICOS!I33)-1))-VALUE(MID(PRONÓSTICOS!I33,FIND("-",PRONÓSTICOS!I33)+1,10)))=SIGN(RESULTADOS!E33-RESULTADOS!F33),1,0))))</f>
        <v/>
      </c>
      <c r="J32" s="70">
        <f>IF(OR(RESULTADOS!E33="",RESULTADOS!E33=0,RESULTADOS!F33=""),"—",IF(AND(VALUE(LEFT(PRONÓSTICOS!J33,FIND("-",PRONÓSTICOS!J33)-1))=RESULTADOS!E33,VALUE(MID(PRONÓSTICOS!J33,FIND("-",PRONÓSTICOS!J33)+1,10))=RESULTADOS!F33),3,IF(AND(VALUE(LEFT(PRONÓSTICOS!J33,FIND("-",PRONÓSTICOS!J33)-1))-VALUE(MID(PRONÓSTICOS!J33,FIND("-",PRONÓSTICOS!J33)+1,10))=RESULTADOS!E33-RESULTADOS!F33,VALUE(LEFT(PRONÓSTICOS!J33,FIND("-",PRONÓSTICOS!J33)-1))&lt;&gt;RESULTADOS!E33),2,IF(SIGN(VALUE(LEFT(PRONÓSTICOS!J33,FIND("-",PRONÓSTICOS!J33)-1))-VALUE(MID(PRONÓSTICOS!J33,FIND("-",PRONÓSTICOS!J33)+1,10)))=SIGN(RESULTADOS!E33-RESULTADOS!F33),1,0))))</f>
        <v/>
      </c>
      <c r="K32" s="70">
        <f>IF(OR(RESULTADOS!E33="",RESULTADOS!E33=0,RESULTADOS!F33=""),"—",IF(AND(VALUE(LEFT(PRONÓSTICOS!K33,FIND("-",PRONÓSTICOS!K33)-1))=RESULTADOS!E33,VALUE(MID(PRONÓSTICOS!K33,FIND("-",PRONÓSTICOS!K33)+1,10))=RESULTADOS!F33),3,IF(AND(VALUE(LEFT(PRONÓSTICOS!K33,FIND("-",PRONÓSTICOS!K33)-1))-VALUE(MID(PRONÓSTICOS!K33,FIND("-",PRONÓSTICOS!K33)+1,10))=RESULTADOS!E33-RESULTADOS!F33,VALUE(LEFT(PRONÓSTICOS!K33,FIND("-",PRONÓSTICOS!K33)-1))&lt;&gt;RESULTADOS!E33),2,IF(SIGN(VALUE(LEFT(PRONÓSTICOS!K33,FIND("-",PRONÓSTICOS!K33)-1))-VALUE(MID(PRONÓSTICOS!K33,FIND("-",PRONÓSTICOS!K33)+1,10)))=SIGN(RESULTADOS!E33-RESULTADOS!F33),1,0))))</f>
        <v/>
      </c>
      <c r="L32" s="70">
        <f>IF(OR(RESULTADOS!E33="",RESULTADOS!E33=0,RESULTADOS!F33=""),"—",IF(AND(VALUE(LEFT(PRONÓSTICOS!L33,FIND("-",PRONÓSTICOS!L33)-1))=RESULTADOS!E33,VALUE(MID(PRONÓSTICOS!L33,FIND("-",PRONÓSTICOS!L33)+1,10))=RESULTADOS!F33),3,IF(AND(VALUE(LEFT(PRONÓSTICOS!L33,FIND("-",PRONÓSTICOS!L33)-1))-VALUE(MID(PRONÓSTICOS!L33,FIND("-",PRONÓSTICOS!L33)+1,10))=RESULTADOS!E33-RESULTADOS!F33,VALUE(LEFT(PRONÓSTICOS!L33,FIND("-",PRONÓSTICOS!L33)-1))&lt;&gt;RESULTADOS!E33),2,IF(SIGN(VALUE(LEFT(PRONÓSTICOS!L33,FIND("-",PRONÓSTICOS!L33)-1))-VALUE(MID(PRONÓSTICOS!L33,FIND("-",PRONÓSTICOS!L33)+1,10)))=SIGN(RESULTADOS!E33-RESULTADOS!F33),1,0))))</f>
        <v/>
      </c>
    </row>
    <row r="33">
      <c r="A33" s="12" t="n">
        <v>31</v>
      </c>
      <c r="B33" s="12" t="inlineStr">
        <is>
          <t>Japón vs Australia</t>
        </is>
      </c>
      <c r="C33" s="12">
        <f>IF(OR(RESULTADOS!E34="",RESULTADOS!E34=0,RESULTADOS!F34=""),"—",IF(AND(VALUE(LEFT(PRONÓSTICOS!C34,FIND("-",PRONÓSTICOS!C34)-1))=RESULTADOS!E34,VALUE(MID(PRONÓSTICOS!C34,FIND("-",PRONÓSTICOS!C34)+1,10))=RESULTADOS!F34),3,IF(AND(VALUE(LEFT(PRONÓSTICOS!C34,FIND("-",PRONÓSTICOS!C34)-1))-VALUE(MID(PRONÓSTICOS!C34,FIND("-",PRONÓSTICOS!C34)+1,10))=RESULTADOS!E34-RESULTADOS!F34,VALUE(LEFT(PRONÓSTICOS!C34,FIND("-",PRONÓSTICOS!C34)-1))&lt;&gt;RESULTADOS!E34),2,IF(SIGN(VALUE(LEFT(PRONÓSTICOS!C34,FIND("-",PRONÓSTICOS!C34)-1))-VALUE(MID(PRONÓSTICOS!C34,FIND("-",PRONÓSTICOS!C34)+1,10)))=SIGN(RESULTADOS!E34-RESULTADOS!F34),1,0))))</f>
        <v/>
      </c>
      <c r="D33" s="12">
        <f>IF(OR(RESULTADOS!E34="",RESULTADOS!E34=0,RESULTADOS!F34=""),"—",IF(AND(VALUE(LEFT(PRONÓSTICOS!D34,FIND("-",PRONÓSTICOS!D34)-1))=RESULTADOS!E34,VALUE(MID(PRONÓSTICOS!D34,FIND("-",PRONÓSTICOS!D34)+1,10))=RESULTADOS!F34),3,IF(AND(VALUE(LEFT(PRONÓSTICOS!D34,FIND("-",PRONÓSTICOS!D34)-1))-VALUE(MID(PRONÓSTICOS!D34,FIND("-",PRONÓSTICOS!D34)+1,10))=RESULTADOS!E34-RESULTADOS!F34,VALUE(LEFT(PRONÓSTICOS!D34,FIND("-",PRONÓSTICOS!D34)-1))&lt;&gt;RESULTADOS!E34),2,IF(SIGN(VALUE(LEFT(PRONÓSTICOS!D34,FIND("-",PRONÓSTICOS!D34)-1))-VALUE(MID(PRONÓSTICOS!D34,FIND("-",PRONÓSTICOS!D34)+1,10)))=SIGN(RESULTADOS!E34-RESULTADOS!F34),1,0))))</f>
        <v/>
      </c>
      <c r="E33" s="12">
        <f>IF(OR(RESULTADOS!E34="",RESULTADOS!E34=0,RESULTADOS!F34=""),"—",IF(AND(VALUE(LEFT(PRONÓSTICOS!E34,FIND("-",PRONÓSTICOS!E34)-1))=RESULTADOS!E34,VALUE(MID(PRONÓSTICOS!E34,FIND("-",PRONÓSTICOS!E34)+1,10))=RESULTADOS!F34),3,IF(AND(VALUE(LEFT(PRONÓSTICOS!E34,FIND("-",PRONÓSTICOS!E34)-1))-VALUE(MID(PRONÓSTICOS!E34,FIND("-",PRONÓSTICOS!E34)+1,10))=RESULTADOS!E34-RESULTADOS!F34,VALUE(LEFT(PRONÓSTICOS!E34,FIND("-",PRONÓSTICOS!E34)-1))&lt;&gt;RESULTADOS!E34),2,IF(SIGN(VALUE(LEFT(PRONÓSTICOS!E34,FIND("-",PRONÓSTICOS!E34)-1))-VALUE(MID(PRONÓSTICOS!E34,FIND("-",PRONÓSTICOS!E34)+1,10)))=SIGN(RESULTADOS!E34-RESULTADOS!F34),1,0))))</f>
        <v/>
      </c>
      <c r="F33" s="12">
        <f>IF(OR(RESULTADOS!E34="",RESULTADOS!E34=0,RESULTADOS!F34=""),"—",IF(AND(VALUE(LEFT(PRONÓSTICOS!F34,FIND("-",PRONÓSTICOS!F34)-1))=RESULTADOS!E34,VALUE(MID(PRONÓSTICOS!F34,FIND("-",PRONÓSTICOS!F34)+1,10))=RESULTADOS!F34),3,IF(AND(VALUE(LEFT(PRONÓSTICOS!F34,FIND("-",PRONÓSTICOS!F34)-1))-VALUE(MID(PRONÓSTICOS!F34,FIND("-",PRONÓSTICOS!F34)+1,10))=RESULTADOS!E34-RESULTADOS!F34,VALUE(LEFT(PRONÓSTICOS!F34,FIND("-",PRONÓSTICOS!F34)-1))&lt;&gt;RESULTADOS!E34),2,IF(SIGN(VALUE(LEFT(PRONÓSTICOS!F34,FIND("-",PRONÓSTICOS!F34)-1))-VALUE(MID(PRONÓSTICOS!F34,FIND("-",PRONÓSTICOS!F34)+1,10)))=SIGN(RESULTADOS!E34-RESULTADOS!F34),1,0))))</f>
        <v/>
      </c>
      <c r="G33" s="12">
        <f>IF(OR(RESULTADOS!E34="",RESULTADOS!E34=0,RESULTADOS!F34=""),"—",IF(AND(VALUE(LEFT(PRONÓSTICOS!G34,FIND("-",PRONÓSTICOS!G34)-1))=RESULTADOS!E34,VALUE(MID(PRONÓSTICOS!G34,FIND("-",PRONÓSTICOS!G34)+1,10))=RESULTADOS!F34),3,IF(AND(VALUE(LEFT(PRONÓSTICOS!G34,FIND("-",PRONÓSTICOS!G34)-1))-VALUE(MID(PRONÓSTICOS!G34,FIND("-",PRONÓSTICOS!G34)+1,10))=RESULTADOS!E34-RESULTADOS!F34,VALUE(LEFT(PRONÓSTICOS!G34,FIND("-",PRONÓSTICOS!G34)-1))&lt;&gt;RESULTADOS!E34),2,IF(SIGN(VALUE(LEFT(PRONÓSTICOS!G34,FIND("-",PRONÓSTICOS!G34)-1))-VALUE(MID(PRONÓSTICOS!G34,FIND("-",PRONÓSTICOS!G34)+1,10)))=SIGN(RESULTADOS!E34-RESULTADOS!F34),1,0))))</f>
        <v/>
      </c>
      <c r="H33" s="12">
        <f>IF(OR(RESULTADOS!E34="",RESULTADOS!E34=0,RESULTADOS!F34=""),"—",IF(AND(VALUE(LEFT(PRONÓSTICOS!H34,FIND("-",PRONÓSTICOS!H34)-1))=RESULTADOS!E34,VALUE(MID(PRONÓSTICOS!H34,FIND("-",PRONÓSTICOS!H34)+1,10))=RESULTADOS!F34),3,IF(AND(VALUE(LEFT(PRONÓSTICOS!H34,FIND("-",PRONÓSTICOS!H34)-1))-VALUE(MID(PRONÓSTICOS!H34,FIND("-",PRONÓSTICOS!H34)+1,10))=RESULTADOS!E34-RESULTADOS!F34,VALUE(LEFT(PRONÓSTICOS!H34,FIND("-",PRONÓSTICOS!H34)-1))&lt;&gt;RESULTADOS!E34),2,IF(SIGN(VALUE(LEFT(PRONÓSTICOS!H34,FIND("-",PRONÓSTICOS!H34)-1))-VALUE(MID(PRONÓSTICOS!H34,FIND("-",PRONÓSTICOS!H34)+1,10)))=SIGN(RESULTADOS!E34-RESULTADOS!F34),1,0))))</f>
        <v/>
      </c>
      <c r="I33" s="12">
        <f>IF(OR(RESULTADOS!E34="",RESULTADOS!E34=0,RESULTADOS!F34=""),"—",IF(AND(VALUE(LEFT(PRONÓSTICOS!I34,FIND("-",PRONÓSTICOS!I34)-1))=RESULTADOS!E34,VALUE(MID(PRONÓSTICOS!I34,FIND("-",PRONÓSTICOS!I34)+1,10))=RESULTADOS!F34),3,IF(AND(VALUE(LEFT(PRONÓSTICOS!I34,FIND("-",PRONÓSTICOS!I34)-1))-VALUE(MID(PRONÓSTICOS!I34,FIND("-",PRONÓSTICOS!I34)+1,10))=RESULTADOS!E34-RESULTADOS!F34,VALUE(LEFT(PRONÓSTICOS!I34,FIND("-",PRONÓSTICOS!I34)-1))&lt;&gt;RESULTADOS!E34),2,IF(SIGN(VALUE(LEFT(PRONÓSTICOS!I34,FIND("-",PRONÓSTICOS!I34)-1))-VALUE(MID(PRONÓSTICOS!I34,FIND("-",PRONÓSTICOS!I34)+1,10)))=SIGN(RESULTADOS!E34-RESULTADOS!F34),1,0))))</f>
        <v/>
      </c>
      <c r="J33" s="12">
        <f>IF(OR(RESULTADOS!E34="",RESULTADOS!E34=0,RESULTADOS!F34=""),"—",IF(AND(VALUE(LEFT(PRONÓSTICOS!J34,FIND("-",PRONÓSTICOS!J34)-1))=RESULTADOS!E34,VALUE(MID(PRONÓSTICOS!J34,FIND("-",PRONÓSTICOS!J34)+1,10))=RESULTADOS!F34),3,IF(AND(VALUE(LEFT(PRONÓSTICOS!J34,FIND("-",PRONÓSTICOS!J34)-1))-VALUE(MID(PRONÓSTICOS!J34,FIND("-",PRONÓSTICOS!J34)+1,10))=RESULTADOS!E34-RESULTADOS!F34,VALUE(LEFT(PRONÓSTICOS!J34,FIND("-",PRONÓSTICOS!J34)-1))&lt;&gt;RESULTADOS!E34),2,IF(SIGN(VALUE(LEFT(PRONÓSTICOS!J34,FIND("-",PRONÓSTICOS!J34)-1))-VALUE(MID(PRONÓSTICOS!J34,FIND("-",PRONÓSTICOS!J34)+1,10)))=SIGN(RESULTADOS!E34-RESULTADOS!F34),1,0))))</f>
        <v/>
      </c>
      <c r="K33" s="12">
        <f>IF(OR(RESULTADOS!E34="",RESULTADOS!E34=0,RESULTADOS!F34=""),"—",IF(AND(VALUE(LEFT(PRONÓSTICOS!K34,FIND("-",PRONÓSTICOS!K34)-1))=RESULTADOS!E34,VALUE(MID(PRONÓSTICOS!K34,FIND("-",PRONÓSTICOS!K34)+1,10))=RESULTADOS!F34),3,IF(AND(VALUE(LEFT(PRONÓSTICOS!K34,FIND("-",PRONÓSTICOS!K34)-1))-VALUE(MID(PRONÓSTICOS!K34,FIND("-",PRONÓSTICOS!K34)+1,10))=RESULTADOS!E34-RESULTADOS!F34,VALUE(LEFT(PRONÓSTICOS!K34,FIND("-",PRONÓSTICOS!K34)-1))&lt;&gt;RESULTADOS!E34),2,IF(SIGN(VALUE(LEFT(PRONÓSTICOS!K34,FIND("-",PRONÓSTICOS!K34)-1))-VALUE(MID(PRONÓSTICOS!K34,FIND("-",PRONÓSTICOS!K34)+1,10)))=SIGN(RESULTADOS!E34-RESULTADOS!F34),1,0))))</f>
        <v/>
      </c>
      <c r="L33" s="12">
        <f>IF(OR(RESULTADOS!E34="",RESULTADOS!E34=0,RESULTADOS!F34=""),"—",IF(AND(VALUE(LEFT(PRONÓSTICOS!L34,FIND("-",PRONÓSTICOS!L34)-1))=RESULTADOS!E34,VALUE(MID(PRONÓSTICOS!L34,FIND("-",PRONÓSTICOS!L34)+1,10))=RESULTADOS!F34),3,IF(AND(VALUE(LEFT(PRONÓSTICOS!L34,FIND("-",PRONÓSTICOS!L34)-1))-VALUE(MID(PRONÓSTICOS!L34,FIND("-",PRONÓSTICOS!L34)+1,10))=RESULTADOS!E34-RESULTADOS!F34,VALUE(LEFT(PRONÓSTICOS!L34,FIND("-",PRONÓSTICOS!L34)-1))&lt;&gt;RESULTADOS!E34),2,IF(SIGN(VALUE(LEFT(PRONÓSTICOS!L34,FIND("-",PRONÓSTICOS!L34)-1))-VALUE(MID(PRONÓSTICOS!L34,FIND("-",PRONÓSTICOS!L34)+1,10)))=SIGN(RESULTADOS!E34-RESULTADOS!F34),1,0))))</f>
        <v/>
      </c>
    </row>
    <row r="34">
      <c r="A34" s="70" t="n">
        <v>32</v>
      </c>
      <c r="B34" s="70" t="inlineStr">
        <is>
          <t>Arabia Saudita vs Japón</t>
        </is>
      </c>
      <c r="C34" s="70">
        <f>IF(OR(RESULTADOS!E35="",RESULTADOS!E35=0,RESULTADOS!F35=""),"—",IF(AND(VALUE(LEFT(PRONÓSTICOS!C35,FIND("-",PRONÓSTICOS!C35)-1))=RESULTADOS!E35,VALUE(MID(PRONÓSTICOS!C35,FIND("-",PRONÓSTICOS!C35)+1,10))=RESULTADOS!F35),3,IF(AND(VALUE(LEFT(PRONÓSTICOS!C35,FIND("-",PRONÓSTICOS!C35)-1))-VALUE(MID(PRONÓSTICOS!C35,FIND("-",PRONÓSTICOS!C35)+1,10))=RESULTADOS!E35-RESULTADOS!F35,VALUE(LEFT(PRONÓSTICOS!C35,FIND("-",PRONÓSTICOS!C35)-1))&lt;&gt;RESULTADOS!E35),2,IF(SIGN(VALUE(LEFT(PRONÓSTICOS!C35,FIND("-",PRONÓSTICOS!C35)-1))-VALUE(MID(PRONÓSTICOS!C35,FIND("-",PRONÓSTICOS!C35)+1,10)))=SIGN(RESULTADOS!E35-RESULTADOS!F35),1,0))))</f>
        <v/>
      </c>
      <c r="D34" s="70">
        <f>IF(OR(RESULTADOS!E35="",RESULTADOS!E35=0,RESULTADOS!F35=""),"—",IF(AND(VALUE(LEFT(PRONÓSTICOS!D35,FIND("-",PRONÓSTICOS!D35)-1))=RESULTADOS!E35,VALUE(MID(PRONÓSTICOS!D35,FIND("-",PRONÓSTICOS!D35)+1,10))=RESULTADOS!F35),3,IF(AND(VALUE(LEFT(PRONÓSTICOS!D35,FIND("-",PRONÓSTICOS!D35)-1))-VALUE(MID(PRONÓSTICOS!D35,FIND("-",PRONÓSTICOS!D35)+1,10))=RESULTADOS!E35-RESULTADOS!F35,VALUE(LEFT(PRONÓSTICOS!D35,FIND("-",PRONÓSTICOS!D35)-1))&lt;&gt;RESULTADOS!E35),2,IF(SIGN(VALUE(LEFT(PRONÓSTICOS!D35,FIND("-",PRONÓSTICOS!D35)-1))-VALUE(MID(PRONÓSTICOS!D35,FIND("-",PRONÓSTICOS!D35)+1,10)))=SIGN(RESULTADOS!E35-RESULTADOS!F35),1,0))))</f>
        <v/>
      </c>
      <c r="E34" s="70">
        <f>IF(OR(RESULTADOS!E35="",RESULTADOS!E35=0,RESULTADOS!F35=""),"—",IF(AND(VALUE(LEFT(PRONÓSTICOS!E35,FIND("-",PRONÓSTICOS!E35)-1))=RESULTADOS!E35,VALUE(MID(PRONÓSTICOS!E35,FIND("-",PRONÓSTICOS!E35)+1,10))=RESULTADOS!F35),3,IF(AND(VALUE(LEFT(PRONÓSTICOS!E35,FIND("-",PRONÓSTICOS!E35)-1))-VALUE(MID(PRONÓSTICOS!E35,FIND("-",PRONÓSTICOS!E35)+1,10))=RESULTADOS!E35-RESULTADOS!F35,VALUE(LEFT(PRONÓSTICOS!E35,FIND("-",PRONÓSTICOS!E35)-1))&lt;&gt;RESULTADOS!E35),2,IF(SIGN(VALUE(LEFT(PRONÓSTICOS!E35,FIND("-",PRONÓSTICOS!E35)-1))-VALUE(MID(PRONÓSTICOS!E35,FIND("-",PRONÓSTICOS!E35)+1,10)))=SIGN(RESULTADOS!E35-RESULTADOS!F35),1,0))))</f>
        <v/>
      </c>
      <c r="F34" s="70">
        <f>IF(OR(RESULTADOS!E35="",RESULTADOS!E35=0,RESULTADOS!F35=""),"—",IF(AND(VALUE(LEFT(PRONÓSTICOS!F35,FIND("-",PRONÓSTICOS!F35)-1))=RESULTADOS!E35,VALUE(MID(PRONÓSTICOS!F35,FIND("-",PRONÓSTICOS!F35)+1,10))=RESULTADOS!F35),3,IF(AND(VALUE(LEFT(PRONÓSTICOS!F35,FIND("-",PRONÓSTICOS!F35)-1))-VALUE(MID(PRONÓSTICOS!F35,FIND("-",PRONÓSTICOS!F35)+1,10))=RESULTADOS!E35-RESULTADOS!F35,VALUE(LEFT(PRONÓSTICOS!F35,FIND("-",PRONÓSTICOS!F35)-1))&lt;&gt;RESULTADOS!E35),2,IF(SIGN(VALUE(LEFT(PRONÓSTICOS!F35,FIND("-",PRONÓSTICOS!F35)-1))-VALUE(MID(PRONÓSTICOS!F35,FIND("-",PRONÓSTICOS!F35)+1,10)))=SIGN(RESULTADOS!E35-RESULTADOS!F35),1,0))))</f>
        <v/>
      </c>
      <c r="G34" s="70">
        <f>IF(OR(RESULTADOS!E35="",RESULTADOS!E35=0,RESULTADOS!F35=""),"—",IF(AND(VALUE(LEFT(PRONÓSTICOS!G35,FIND("-",PRONÓSTICOS!G35)-1))=RESULTADOS!E35,VALUE(MID(PRONÓSTICOS!G35,FIND("-",PRONÓSTICOS!G35)+1,10))=RESULTADOS!F35),3,IF(AND(VALUE(LEFT(PRONÓSTICOS!G35,FIND("-",PRONÓSTICOS!G35)-1))-VALUE(MID(PRONÓSTICOS!G35,FIND("-",PRONÓSTICOS!G35)+1,10))=RESULTADOS!E35-RESULTADOS!F35,VALUE(LEFT(PRONÓSTICOS!G35,FIND("-",PRONÓSTICOS!G35)-1))&lt;&gt;RESULTADOS!E35),2,IF(SIGN(VALUE(LEFT(PRONÓSTICOS!G35,FIND("-",PRONÓSTICOS!G35)-1))-VALUE(MID(PRONÓSTICOS!G35,FIND("-",PRONÓSTICOS!G35)+1,10)))=SIGN(RESULTADOS!E35-RESULTADOS!F35),1,0))))</f>
        <v/>
      </c>
      <c r="H34" s="70">
        <f>IF(OR(RESULTADOS!E35="",RESULTADOS!E35=0,RESULTADOS!F35=""),"—",IF(AND(VALUE(LEFT(PRONÓSTICOS!H35,FIND("-",PRONÓSTICOS!H35)-1))=RESULTADOS!E35,VALUE(MID(PRONÓSTICOS!H35,FIND("-",PRONÓSTICOS!H35)+1,10))=RESULTADOS!F35),3,IF(AND(VALUE(LEFT(PRONÓSTICOS!H35,FIND("-",PRONÓSTICOS!H35)-1))-VALUE(MID(PRONÓSTICOS!H35,FIND("-",PRONÓSTICOS!H35)+1,10))=RESULTADOS!E35-RESULTADOS!F35,VALUE(LEFT(PRONÓSTICOS!H35,FIND("-",PRONÓSTICOS!H35)-1))&lt;&gt;RESULTADOS!E35),2,IF(SIGN(VALUE(LEFT(PRONÓSTICOS!H35,FIND("-",PRONÓSTICOS!H35)-1))-VALUE(MID(PRONÓSTICOS!H35,FIND("-",PRONÓSTICOS!H35)+1,10)))=SIGN(RESULTADOS!E35-RESULTADOS!F35),1,0))))</f>
        <v/>
      </c>
      <c r="I34" s="70">
        <f>IF(OR(RESULTADOS!E35="",RESULTADOS!E35=0,RESULTADOS!F35=""),"—",IF(AND(VALUE(LEFT(PRONÓSTICOS!I35,FIND("-",PRONÓSTICOS!I35)-1))=RESULTADOS!E35,VALUE(MID(PRONÓSTICOS!I35,FIND("-",PRONÓSTICOS!I35)+1,10))=RESULTADOS!F35),3,IF(AND(VALUE(LEFT(PRONÓSTICOS!I35,FIND("-",PRONÓSTICOS!I35)-1))-VALUE(MID(PRONÓSTICOS!I35,FIND("-",PRONÓSTICOS!I35)+1,10))=RESULTADOS!E35-RESULTADOS!F35,VALUE(LEFT(PRONÓSTICOS!I35,FIND("-",PRONÓSTICOS!I35)-1))&lt;&gt;RESULTADOS!E35),2,IF(SIGN(VALUE(LEFT(PRONÓSTICOS!I35,FIND("-",PRONÓSTICOS!I35)-1))-VALUE(MID(PRONÓSTICOS!I35,FIND("-",PRONÓSTICOS!I35)+1,10)))=SIGN(RESULTADOS!E35-RESULTADOS!F35),1,0))))</f>
        <v/>
      </c>
      <c r="J34" s="70">
        <f>IF(OR(RESULTADOS!E35="",RESULTADOS!E35=0,RESULTADOS!F35=""),"—",IF(AND(VALUE(LEFT(PRONÓSTICOS!J35,FIND("-",PRONÓSTICOS!J35)-1))=RESULTADOS!E35,VALUE(MID(PRONÓSTICOS!J35,FIND("-",PRONÓSTICOS!J35)+1,10))=RESULTADOS!F35),3,IF(AND(VALUE(LEFT(PRONÓSTICOS!J35,FIND("-",PRONÓSTICOS!J35)-1))-VALUE(MID(PRONÓSTICOS!J35,FIND("-",PRONÓSTICOS!J35)+1,10))=RESULTADOS!E35-RESULTADOS!F35,VALUE(LEFT(PRONÓSTICOS!J35,FIND("-",PRONÓSTICOS!J35)-1))&lt;&gt;RESULTADOS!E35),2,IF(SIGN(VALUE(LEFT(PRONÓSTICOS!J35,FIND("-",PRONÓSTICOS!J35)-1))-VALUE(MID(PRONÓSTICOS!J35,FIND("-",PRONÓSTICOS!J35)+1,10)))=SIGN(RESULTADOS!E35-RESULTADOS!F35),1,0))))</f>
        <v/>
      </c>
      <c r="K34" s="70">
        <f>IF(OR(RESULTADOS!E35="",RESULTADOS!E35=0,RESULTADOS!F35=""),"—",IF(AND(VALUE(LEFT(PRONÓSTICOS!K35,FIND("-",PRONÓSTICOS!K35)-1))=RESULTADOS!E35,VALUE(MID(PRONÓSTICOS!K35,FIND("-",PRONÓSTICOS!K35)+1,10))=RESULTADOS!F35),3,IF(AND(VALUE(LEFT(PRONÓSTICOS!K35,FIND("-",PRONÓSTICOS!K35)-1))-VALUE(MID(PRONÓSTICOS!K35,FIND("-",PRONÓSTICOS!K35)+1,10))=RESULTADOS!E35-RESULTADOS!F35,VALUE(LEFT(PRONÓSTICOS!K35,FIND("-",PRONÓSTICOS!K35)-1))&lt;&gt;RESULTADOS!E35),2,IF(SIGN(VALUE(LEFT(PRONÓSTICOS!K35,FIND("-",PRONÓSTICOS!K35)-1))-VALUE(MID(PRONÓSTICOS!K35,FIND("-",PRONÓSTICOS!K35)+1,10)))=SIGN(RESULTADOS!E35-RESULTADOS!F35),1,0))))</f>
        <v/>
      </c>
      <c r="L34" s="70">
        <f>IF(OR(RESULTADOS!E35="",RESULTADOS!E35=0,RESULTADOS!F35=""),"—",IF(AND(VALUE(LEFT(PRONÓSTICOS!L35,FIND("-",PRONÓSTICOS!L35)-1))=RESULTADOS!E35,VALUE(MID(PRONÓSTICOS!L35,FIND("-",PRONÓSTICOS!L35)+1,10))=RESULTADOS!F35),3,IF(AND(VALUE(LEFT(PRONÓSTICOS!L35,FIND("-",PRONÓSTICOS!L35)-1))-VALUE(MID(PRONÓSTICOS!L35,FIND("-",PRONÓSTICOS!L35)+1,10))=RESULTADOS!E35-RESULTADOS!F35,VALUE(LEFT(PRONÓSTICOS!L35,FIND("-",PRONÓSTICOS!L35)-1))&lt;&gt;RESULTADOS!E35),2,IF(SIGN(VALUE(LEFT(PRONÓSTICOS!L35,FIND("-",PRONÓSTICOS!L35)-1))-VALUE(MID(PRONÓSTICOS!L35,FIND("-",PRONÓSTICOS!L35)+1,10)))=SIGN(RESULTADOS!E35-RESULTADOS!F35),1,0))))</f>
        <v/>
      </c>
    </row>
    <row r="35">
      <c r="A35" s="12" t="n">
        <v>33</v>
      </c>
      <c r="B35" s="12" t="inlineStr">
        <is>
          <t>Australia vs Arabia Saudita</t>
        </is>
      </c>
      <c r="C35" s="12">
        <f>IF(OR(RESULTADOS!E36="",RESULTADOS!E36=0,RESULTADOS!F36=""),"—",IF(AND(VALUE(LEFT(PRONÓSTICOS!C36,FIND("-",PRONÓSTICOS!C36)-1))=RESULTADOS!E36,VALUE(MID(PRONÓSTICOS!C36,FIND("-",PRONÓSTICOS!C36)+1,10))=RESULTADOS!F36),3,IF(AND(VALUE(LEFT(PRONÓSTICOS!C36,FIND("-",PRONÓSTICOS!C36)-1))-VALUE(MID(PRONÓSTICOS!C36,FIND("-",PRONÓSTICOS!C36)+1,10))=RESULTADOS!E36-RESULTADOS!F36,VALUE(LEFT(PRONÓSTICOS!C36,FIND("-",PRONÓSTICOS!C36)-1))&lt;&gt;RESULTADOS!E36),2,IF(SIGN(VALUE(LEFT(PRONÓSTICOS!C36,FIND("-",PRONÓSTICOS!C36)-1))-VALUE(MID(PRONÓSTICOS!C36,FIND("-",PRONÓSTICOS!C36)+1,10)))=SIGN(RESULTADOS!E36-RESULTADOS!F36),1,0))))</f>
        <v/>
      </c>
      <c r="D35" s="12">
        <f>IF(OR(RESULTADOS!E36="",RESULTADOS!E36=0,RESULTADOS!F36=""),"—",IF(AND(VALUE(LEFT(PRONÓSTICOS!D36,FIND("-",PRONÓSTICOS!D36)-1))=RESULTADOS!E36,VALUE(MID(PRONÓSTICOS!D36,FIND("-",PRONÓSTICOS!D36)+1,10))=RESULTADOS!F36),3,IF(AND(VALUE(LEFT(PRONÓSTICOS!D36,FIND("-",PRONÓSTICOS!D36)-1))-VALUE(MID(PRONÓSTICOS!D36,FIND("-",PRONÓSTICOS!D36)+1,10))=RESULTADOS!E36-RESULTADOS!F36,VALUE(LEFT(PRONÓSTICOS!D36,FIND("-",PRONÓSTICOS!D36)-1))&lt;&gt;RESULTADOS!E36),2,IF(SIGN(VALUE(LEFT(PRONÓSTICOS!D36,FIND("-",PRONÓSTICOS!D36)-1))-VALUE(MID(PRONÓSTICOS!D36,FIND("-",PRONÓSTICOS!D36)+1,10)))=SIGN(RESULTADOS!E36-RESULTADOS!F36),1,0))))</f>
        <v/>
      </c>
      <c r="E35" s="12">
        <f>IF(OR(RESULTADOS!E36="",RESULTADOS!E36=0,RESULTADOS!F36=""),"—",IF(AND(VALUE(LEFT(PRONÓSTICOS!E36,FIND("-",PRONÓSTICOS!E36)-1))=RESULTADOS!E36,VALUE(MID(PRONÓSTICOS!E36,FIND("-",PRONÓSTICOS!E36)+1,10))=RESULTADOS!F36),3,IF(AND(VALUE(LEFT(PRONÓSTICOS!E36,FIND("-",PRONÓSTICOS!E36)-1))-VALUE(MID(PRONÓSTICOS!E36,FIND("-",PRONÓSTICOS!E36)+1,10))=RESULTADOS!E36-RESULTADOS!F36,VALUE(LEFT(PRONÓSTICOS!E36,FIND("-",PRONÓSTICOS!E36)-1))&lt;&gt;RESULTADOS!E36),2,IF(SIGN(VALUE(LEFT(PRONÓSTICOS!E36,FIND("-",PRONÓSTICOS!E36)-1))-VALUE(MID(PRONÓSTICOS!E36,FIND("-",PRONÓSTICOS!E36)+1,10)))=SIGN(RESULTADOS!E36-RESULTADOS!F36),1,0))))</f>
        <v/>
      </c>
      <c r="F35" s="12">
        <f>IF(OR(RESULTADOS!E36="",RESULTADOS!E36=0,RESULTADOS!F36=""),"—",IF(AND(VALUE(LEFT(PRONÓSTICOS!F36,FIND("-",PRONÓSTICOS!F36)-1))=RESULTADOS!E36,VALUE(MID(PRONÓSTICOS!F36,FIND("-",PRONÓSTICOS!F36)+1,10))=RESULTADOS!F36),3,IF(AND(VALUE(LEFT(PRONÓSTICOS!F36,FIND("-",PRONÓSTICOS!F36)-1))-VALUE(MID(PRONÓSTICOS!F36,FIND("-",PRONÓSTICOS!F36)+1,10))=RESULTADOS!E36-RESULTADOS!F36,VALUE(LEFT(PRONÓSTICOS!F36,FIND("-",PRONÓSTICOS!F36)-1))&lt;&gt;RESULTADOS!E36),2,IF(SIGN(VALUE(LEFT(PRONÓSTICOS!F36,FIND("-",PRONÓSTICOS!F36)-1))-VALUE(MID(PRONÓSTICOS!F36,FIND("-",PRONÓSTICOS!F36)+1,10)))=SIGN(RESULTADOS!E36-RESULTADOS!F36),1,0))))</f>
        <v/>
      </c>
      <c r="G35" s="12">
        <f>IF(OR(RESULTADOS!E36="",RESULTADOS!E36=0,RESULTADOS!F36=""),"—",IF(AND(VALUE(LEFT(PRONÓSTICOS!G36,FIND("-",PRONÓSTICOS!G36)-1))=RESULTADOS!E36,VALUE(MID(PRONÓSTICOS!G36,FIND("-",PRONÓSTICOS!G36)+1,10))=RESULTADOS!F36),3,IF(AND(VALUE(LEFT(PRONÓSTICOS!G36,FIND("-",PRONÓSTICOS!G36)-1))-VALUE(MID(PRONÓSTICOS!G36,FIND("-",PRONÓSTICOS!G36)+1,10))=RESULTADOS!E36-RESULTADOS!F36,VALUE(LEFT(PRONÓSTICOS!G36,FIND("-",PRONÓSTICOS!G36)-1))&lt;&gt;RESULTADOS!E36),2,IF(SIGN(VALUE(LEFT(PRONÓSTICOS!G36,FIND("-",PRONÓSTICOS!G36)-1))-VALUE(MID(PRONÓSTICOS!G36,FIND("-",PRONÓSTICOS!G36)+1,10)))=SIGN(RESULTADOS!E36-RESULTADOS!F36),1,0))))</f>
        <v/>
      </c>
      <c r="H35" s="12">
        <f>IF(OR(RESULTADOS!E36="",RESULTADOS!E36=0,RESULTADOS!F36=""),"—",IF(AND(VALUE(LEFT(PRONÓSTICOS!H36,FIND("-",PRONÓSTICOS!H36)-1))=RESULTADOS!E36,VALUE(MID(PRONÓSTICOS!H36,FIND("-",PRONÓSTICOS!H36)+1,10))=RESULTADOS!F36),3,IF(AND(VALUE(LEFT(PRONÓSTICOS!H36,FIND("-",PRONÓSTICOS!H36)-1))-VALUE(MID(PRONÓSTICOS!H36,FIND("-",PRONÓSTICOS!H36)+1,10))=RESULTADOS!E36-RESULTADOS!F36,VALUE(LEFT(PRONÓSTICOS!H36,FIND("-",PRONÓSTICOS!H36)-1))&lt;&gt;RESULTADOS!E36),2,IF(SIGN(VALUE(LEFT(PRONÓSTICOS!H36,FIND("-",PRONÓSTICOS!H36)-1))-VALUE(MID(PRONÓSTICOS!H36,FIND("-",PRONÓSTICOS!H36)+1,10)))=SIGN(RESULTADOS!E36-RESULTADOS!F36),1,0))))</f>
        <v/>
      </c>
      <c r="I35" s="12">
        <f>IF(OR(RESULTADOS!E36="",RESULTADOS!E36=0,RESULTADOS!F36=""),"—",IF(AND(VALUE(LEFT(PRONÓSTICOS!I36,FIND("-",PRONÓSTICOS!I36)-1))=RESULTADOS!E36,VALUE(MID(PRONÓSTICOS!I36,FIND("-",PRONÓSTICOS!I36)+1,10))=RESULTADOS!F36),3,IF(AND(VALUE(LEFT(PRONÓSTICOS!I36,FIND("-",PRONÓSTICOS!I36)-1))-VALUE(MID(PRONÓSTICOS!I36,FIND("-",PRONÓSTICOS!I36)+1,10))=RESULTADOS!E36-RESULTADOS!F36,VALUE(LEFT(PRONÓSTICOS!I36,FIND("-",PRONÓSTICOS!I36)-1))&lt;&gt;RESULTADOS!E36),2,IF(SIGN(VALUE(LEFT(PRONÓSTICOS!I36,FIND("-",PRONÓSTICOS!I36)-1))-VALUE(MID(PRONÓSTICOS!I36,FIND("-",PRONÓSTICOS!I36)+1,10)))=SIGN(RESULTADOS!E36-RESULTADOS!F36),1,0))))</f>
        <v/>
      </c>
      <c r="J35" s="12">
        <f>IF(OR(RESULTADOS!E36="",RESULTADOS!E36=0,RESULTADOS!F36=""),"—",IF(AND(VALUE(LEFT(PRONÓSTICOS!J36,FIND("-",PRONÓSTICOS!J36)-1))=RESULTADOS!E36,VALUE(MID(PRONÓSTICOS!J36,FIND("-",PRONÓSTICOS!J36)+1,10))=RESULTADOS!F36),3,IF(AND(VALUE(LEFT(PRONÓSTICOS!J36,FIND("-",PRONÓSTICOS!J36)-1))-VALUE(MID(PRONÓSTICOS!J36,FIND("-",PRONÓSTICOS!J36)+1,10))=RESULTADOS!E36-RESULTADOS!F36,VALUE(LEFT(PRONÓSTICOS!J36,FIND("-",PRONÓSTICOS!J36)-1))&lt;&gt;RESULTADOS!E36),2,IF(SIGN(VALUE(LEFT(PRONÓSTICOS!J36,FIND("-",PRONÓSTICOS!J36)-1))-VALUE(MID(PRONÓSTICOS!J36,FIND("-",PRONÓSTICOS!J36)+1,10)))=SIGN(RESULTADOS!E36-RESULTADOS!F36),1,0))))</f>
        <v/>
      </c>
      <c r="K35" s="12">
        <f>IF(OR(RESULTADOS!E36="",RESULTADOS!E36=0,RESULTADOS!F36=""),"—",IF(AND(VALUE(LEFT(PRONÓSTICOS!K36,FIND("-",PRONÓSTICOS!K36)-1))=RESULTADOS!E36,VALUE(MID(PRONÓSTICOS!K36,FIND("-",PRONÓSTICOS!K36)+1,10))=RESULTADOS!F36),3,IF(AND(VALUE(LEFT(PRONÓSTICOS!K36,FIND("-",PRONÓSTICOS!K36)-1))-VALUE(MID(PRONÓSTICOS!K36,FIND("-",PRONÓSTICOS!K36)+1,10))=RESULTADOS!E36-RESULTADOS!F36,VALUE(LEFT(PRONÓSTICOS!K36,FIND("-",PRONÓSTICOS!K36)-1))&lt;&gt;RESULTADOS!E36),2,IF(SIGN(VALUE(LEFT(PRONÓSTICOS!K36,FIND("-",PRONÓSTICOS!K36)-1))-VALUE(MID(PRONÓSTICOS!K36,FIND("-",PRONÓSTICOS!K36)+1,10)))=SIGN(RESULTADOS!E36-RESULTADOS!F36),1,0))))</f>
        <v/>
      </c>
      <c r="L35" s="12">
        <f>IF(OR(RESULTADOS!E36="",RESULTADOS!E36=0,RESULTADOS!F36=""),"—",IF(AND(VALUE(LEFT(PRONÓSTICOS!L36,FIND("-",PRONÓSTICOS!L36)-1))=RESULTADOS!E36,VALUE(MID(PRONÓSTICOS!L36,FIND("-",PRONÓSTICOS!L36)+1,10))=RESULTADOS!F36),3,IF(AND(VALUE(LEFT(PRONÓSTICOS!L36,FIND("-",PRONÓSTICOS!L36)-1))-VALUE(MID(PRONÓSTICOS!L36,FIND("-",PRONÓSTICOS!L36)+1,10))=RESULTADOS!E36-RESULTADOS!F36,VALUE(LEFT(PRONÓSTICOS!L36,FIND("-",PRONÓSTICOS!L36)-1))&lt;&gt;RESULTADOS!E36),2,IF(SIGN(VALUE(LEFT(PRONÓSTICOS!L36,FIND("-",PRONÓSTICOS!L36)-1))-VALUE(MID(PRONÓSTICOS!L36,FIND("-",PRONÓSTICOS!L36)+1,10)))=SIGN(RESULTADOS!E36-RESULTADOS!F36),1,0))))</f>
        <v/>
      </c>
    </row>
    <row r="36">
      <c r="A36" s="70" t="n">
        <v>34</v>
      </c>
      <c r="B36" s="70" t="inlineStr">
        <is>
          <t>Corea del Sur vs Irán</t>
        </is>
      </c>
      <c r="C36" s="70">
        <f>IF(OR(RESULTADOS!E37="",RESULTADOS!E37=0,RESULTADOS!F37=""),"—",IF(AND(VALUE(LEFT(PRONÓSTICOS!C37,FIND("-",PRONÓSTICOS!C37)-1))=RESULTADOS!E37,VALUE(MID(PRONÓSTICOS!C37,FIND("-",PRONÓSTICOS!C37)+1,10))=RESULTADOS!F37),3,IF(AND(VALUE(LEFT(PRONÓSTICOS!C37,FIND("-",PRONÓSTICOS!C37)-1))-VALUE(MID(PRONÓSTICOS!C37,FIND("-",PRONÓSTICOS!C37)+1,10))=RESULTADOS!E37-RESULTADOS!F37,VALUE(LEFT(PRONÓSTICOS!C37,FIND("-",PRONÓSTICOS!C37)-1))&lt;&gt;RESULTADOS!E37),2,IF(SIGN(VALUE(LEFT(PRONÓSTICOS!C37,FIND("-",PRONÓSTICOS!C37)-1))-VALUE(MID(PRONÓSTICOS!C37,FIND("-",PRONÓSTICOS!C37)+1,10)))=SIGN(RESULTADOS!E37-RESULTADOS!F37),1,0))))</f>
        <v/>
      </c>
      <c r="D36" s="70">
        <f>IF(OR(RESULTADOS!E37="",RESULTADOS!E37=0,RESULTADOS!F37=""),"—",IF(AND(VALUE(LEFT(PRONÓSTICOS!D37,FIND("-",PRONÓSTICOS!D37)-1))=RESULTADOS!E37,VALUE(MID(PRONÓSTICOS!D37,FIND("-",PRONÓSTICOS!D37)+1,10))=RESULTADOS!F37),3,IF(AND(VALUE(LEFT(PRONÓSTICOS!D37,FIND("-",PRONÓSTICOS!D37)-1))-VALUE(MID(PRONÓSTICOS!D37,FIND("-",PRONÓSTICOS!D37)+1,10))=RESULTADOS!E37-RESULTADOS!F37,VALUE(LEFT(PRONÓSTICOS!D37,FIND("-",PRONÓSTICOS!D37)-1))&lt;&gt;RESULTADOS!E37),2,IF(SIGN(VALUE(LEFT(PRONÓSTICOS!D37,FIND("-",PRONÓSTICOS!D37)-1))-VALUE(MID(PRONÓSTICOS!D37,FIND("-",PRONÓSTICOS!D37)+1,10)))=SIGN(RESULTADOS!E37-RESULTADOS!F37),1,0))))</f>
        <v/>
      </c>
      <c r="E36" s="70">
        <f>IF(OR(RESULTADOS!E37="",RESULTADOS!E37=0,RESULTADOS!F37=""),"—",IF(AND(VALUE(LEFT(PRONÓSTICOS!E37,FIND("-",PRONÓSTICOS!E37)-1))=RESULTADOS!E37,VALUE(MID(PRONÓSTICOS!E37,FIND("-",PRONÓSTICOS!E37)+1,10))=RESULTADOS!F37),3,IF(AND(VALUE(LEFT(PRONÓSTICOS!E37,FIND("-",PRONÓSTICOS!E37)-1))-VALUE(MID(PRONÓSTICOS!E37,FIND("-",PRONÓSTICOS!E37)+1,10))=RESULTADOS!E37-RESULTADOS!F37,VALUE(LEFT(PRONÓSTICOS!E37,FIND("-",PRONÓSTICOS!E37)-1))&lt;&gt;RESULTADOS!E37),2,IF(SIGN(VALUE(LEFT(PRONÓSTICOS!E37,FIND("-",PRONÓSTICOS!E37)-1))-VALUE(MID(PRONÓSTICOS!E37,FIND("-",PRONÓSTICOS!E37)+1,10)))=SIGN(RESULTADOS!E37-RESULTADOS!F37),1,0))))</f>
        <v/>
      </c>
      <c r="F36" s="70">
        <f>IF(OR(RESULTADOS!E37="",RESULTADOS!E37=0,RESULTADOS!F37=""),"—",IF(AND(VALUE(LEFT(PRONÓSTICOS!F37,FIND("-",PRONÓSTICOS!F37)-1))=RESULTADOS!E37,VALUE(MID(PRONÓSTICOS!F37,FIND("-",PRONÓSTICOS!F37)+1,10))=RESULTADOS!F37),3,IF(AND(VALUE(LEFT(PRONÓSTICOS!F37,FIND("-",PRONÓSTICOS!F37)-1))-VALUE(MID(PRONÓSTICOS!F37,FIND("-",PRONÓSTICOS!F37)+1,10))=RESULTADOS!E37-RESULTADOS!F37,VALUE(LEFT(PRONÓSTICOS!F37,FIND("-",PRONÓSTICOS!F37)-1))&lt;&gt;RESULTADOS!E37),2,IF(SIGN(VALUE(LEFT(PRONÓSTICOS!F37,FIND("-",PRONÓSTICOS!F37)-1))-VALUE(MID(PRONÓSTICOS!F37,FIND("-",PRONÓSTICOS!F37)+1,10)))=SIGN(RESULTADOS!E37-RESULTADOS!F37),1,0))))</f>
        <v/>
      </c>
      <c r="G36" s="70">
        <f>IF(OR(RESULTADOS!E37="",RESULTADOS!E37=0,RESULTADOS!F37=""),"—",IF(AND(VALUE(LEFT(PRONÓSTICOS!G37,FIND("-",PRONÓSTICOS!G37)-1))=RESULTADOS!E37,VALUE(MID(PRONÓSTICOS!G37,FIND("-",PRONÓSTICOS!G37)+1,10))=RESULTADOS!F37),3,IF(AND(VALUE(LEFT(PRONÓSTICOS!G37,FIND("-",PRONÓSTICOS!G37)-1))-VALUE(MID(PRONÓSTICOS!G37,FIND("-",PRONÓSTICOS!G37)+1,10))=RESULTADOS!E37-RESULTADOS!F37,VALUE(LEFT(PRONÓSTICOS!G37,FIND("-",PRONÓSTICOS!G37)-1))&lt;&gt;RESULTADOS!E37),2,IF(SIGN(VALUE(LEFT(PRONÓSTICOS!G37,FIND("-",PRONÓSTICOS!G37)-1))-VALUE(MID(PRONÓSTICOS!G37,FIND("-",PRONÓSTICOS!G37)+1,10)))=SIGN(RESULTADOS!E37-RESULTADOS!F37),1,0))))</f>
        <v/>
      </c>
      <c r="H36" s="70">
        <f>IF(OR(RESULTADOS!E37="",RESULTADOS!E37=0,RESULTADOS!F37=""),"—",IF(AND(VALUE(LEFT(PRONÓSTICOS!H37,FIND("-",PRONÓSTICOS!H37)-1))=RESULTADOS!E37,VALUE(MID(PRONÓSTICOS!H37,FIND("-",PRONÓSTICOS!H37)+1,10))=RESULTADOS!F37),3,IF(AND(VALUE(LEFT(PRONÓSTICOS!H37,FIND("-",PRONÓSTICOS!H37)-1))-VALUE(MID(PRONÓSTICOS!H37,FIND("-",PRONÓSTICOS!H37)+1,10))=RESULTADOS!E37-RESULTADOS!F37,VALUE(LEFT(PRONÓSTICOS!H37,FIND("-",PRONÓSTICOS!H37)-1))&lt;&gt;RESULTADOS!E37),2,IF(SIGN(VALUE(LEFT(PRONÓSTICOS!H37,FIND("-",PRONÓSTICOS!H37)-1))-VALUE(MID(PRONÓSTICOS!H37,FIND("-",PRONÓSTICOS!H37)+1,10)))=SIGN(RESULTADOS!E37-RESULTADOS!F37),1,0))))</f>
        <v/>
      </c>
      <c r="I36" s="70">
        <f>IF(OR(RESULTADOS!E37="",RESULTADOS!E37=0,RESULTADOS!F37=""),"—",IF(AND(VALUE(LEFT(PRONÓSTICOS!I37,FIND("-",PRONÓSTICOS!I37)-1))=RESULTADOS!E37,VALUE(MID(PRONÓSTICOS!I37,FIND("-",PRONÓSTICOS!I37)+1,10))=RESULTADOS!F37),3,IF(AND(VALUE(LEFT(PRONÓSTICOS!I37,FIND("-",PRONÓSTICOS!I37)-1))-VALUE(MID(PRONÓSTICOS!I37,FIND("-",PRONÓSTICOS!I37)+1,10))=RESULTADOS!E37-RESULTADOS!F37,VALUE(LEFT(PRONÓSTICOS!I37,FIND("-",PRONÓSTICOS!I37)-1))&lt;&gt;RESULTADOS!E37),2,IF(SIGN(VALUE(LEFT(PRONÓSTICOS!I37,FIND("-",PRONÓSTICOS!I37)-1))-VALUE(MID(PRONÓSTICOS!I37,FIND("-",PRONÓSTICOS!I37)+1,10)))=SIGN(RESULTADOS!E37-RESULTADOS!F37),1,0))))</f>
        <v/>
      </c>
      <c r="J36" s="70">
        <f>IF(OR(RESULTADOS!E37="",RESULTADOS!E37=0,RESULTADOS!F37=""),"—",IF(AND(VALUE(LEFT(PRONÓSTICOS!J37,FIND("-",PRONÓSTICOS!J37)-1))=RESULTADOS!E37,VALUE(MID(PRONÓSTICOS!J37,FIND("-",PRONÓSTICOS!J37)+1,10))=RESULTADOS!F37),3,IF(AND(VALUE(LEFT(PRONÓSTICOS!J37,FIND("-",PRONÓSTICOS!J37)-1))-VALUE(MID(PRONÓSTICOS!J37,FIND("-",PRONÓSTICOS!J37)+1,10))=RESULTADOS!E37-RESULTADOS!F37,VALUE(LEFT(PRONÓSTICOS!J37,FIND("-",PRONÓSTICOS!J37)-1))&lt;&gt;RESULTADOS!E37),2,IF(SIGN(VALUE(LEFT(PRONÓSTICOS!J37,FIND("-",PRONÓSTICOS!J37)-1))-VALUE(MID(PRONÓSTICOS!J37,FIND("-",PRONÓSTICOS!J37)+1,10)))=SIGN(RESULTADOS!E37-RESULTADOS!F37),1,0))))</f>
        <v/>
      </c>
      <c r="K36" s="70">
        <f>IF(OR(RESULTADOS!E37="",RESULTADOS!E37=0,RESULTADOS!F37=""),"—",IF(AND(VALUE(LEFT(PRONÓSTICOS!K37,FIND("-",PRONÓSTICOS!K37)-1))=RESULTADOS!E37,VALUE(MID(PRONÓSTICOS!K37,FIND("-",PRONÓSTICOS!K37)+1,10))=RESULTADOS!F37),3,IF(AND(VALUE(LEFT(PRONÓSTICOS!K37,FIND("-",PRONÓSTICOS!K37)-1))-VALUE(MID(PRONÓSTICOS!K37,FIND("-",PRONÓSTICOS!K37)+1,10))=RESULTADOS!E37-RESULTADOS!F37,VALUE(LEFT(PRONÓSTICOS!K37,FIND("-",PRONÓSTICOS!K37)-1))&lt;&gt;RESULTADOS!E37),2,IF(SIGN(VALUE(LEFT(PRONÓSTICOS!K37,FIND("-",PRONÓSTICOS!K37)-1))-VALUE(MID(PRONÓSTICOS!K37,FIND("-",PRONÓSTICOS!K37)+1,10)))=SIGN(RESULTADOS!E37-RESULTADOS!F37),1,0))))</f>
        <v/>
      </c>
      <c r="L36" s="70">
        <f>IF(OR(RESULTADOS!E37="",RESULTADOS!E37=0,RESULTADOS!F37=""),"—",IF(AND(VALUE(LEFT(PRONÓSTICOS!L37,FIND("-",PRONÓSTICOS!L37)-1))=RESULTADOS!E37,VALUE(MID(PRONÓSTICOS!L37,FIND("-",PRONÓSTICOS!L37)+1,10))=RESULTADOS!F37),3,IF(AND(VALUE(LEFT(PRONÓSTICOS!L37,FIND("-",PRONÓSTICOS!L37)-1))-VALUE(MID(PRONÓSTICOS!L37,FIND("-",PRONÓSTICOS!L37)+1,10))=RESULTADOS!E37-RESULTADOS!F37,VALUE(LEFT(PRONÓSTICOS!L37,FIND("-",PRONÓSTICOS!L37)-1))&lt;&gt;RESULTADOS!E37),2,IF(SIGN(VALUE(LEFT(PRONÓSTICOS!L37,FIND("-",PRONÓSTICOS!L37)-1))-VALUE(MID(PRONÓSTICOS!L37,FIND("-",PRONÓSTICOS!L37)+1,10)))=SIGN(RESULTADOS!E37-RESULTADOS!F37),1,0))))</f>
        <v/>
      </c>
    </row>
    <row r="37">
      <c r="A37" s="12" t="n">
        <v>35</v>
      </c>
      <c r="B37" s="12" t="inlineStr">
        <is>
          <t>Uzbekistán vs Corea del Sur</t>
        </is>
      </c>
      <c r="C37" s="12">
        <f>IF(OR(RESULTADOS!E38="",RESULTADOS!E38=0,RESULTADOS!F38=""),"—",IF(AND(VALUE(LEFT(PRONÓSTICOS!C38,FIND("-",PRONÓSTICOS!C38)-1))=RESULTADOS!E38,VALUE(MID(PRONÓSTICOS!C38,FIND("-",PRONÓSTICOS!C38)+1,10))=RESULTADOS!F38),3,IF(AND(VALUE(LEFT(PRONÓSTICOS!C38,FIND("-",PRONÓSTICOS!C38)-1))-VALUE(MID(PRONÓSTICOS!C38,FIND("-",PRONÓSTICOS!C38)+1,10))=RESULTADOS!E38-RESULTADOS!F38,VALUE(LEFT(PRONÓSTICOS!C38,FIND("-",PRONÓSTICOS!C38)-1))&lt;&gt;RESULTADOS!E38),2,IF(SIGN(VALUE(LEFT(PRONÓSTICOS!C38,FIND("-",PRONÓSTICOS!C38)-1))-VALUE(MID(PRONÓSTICOS!C38,FIND("-",PRONÓSTICOS!C38)+1,10)))=SIGN(RESULTADOS!E38-RESULTADOS!F38),1,0))))</f>
        <v/>
      </c>
      <c r="D37" s="12">
        <f>IF(OR(RESULTADOS!E38="",RESULTADOS!E38=0,RESULTADOS!F38=""),"—",IF(AND(VALUE(LEFT(PRONÓSTICOS!D38,FIND("-",PRONÓSTICOS!D38)-1))=RESULTADOS!E38,VALUE(MID(PRONÓSTICOS!D38,FIND("-",PRONÓSTICOS!D38)+1,10))=RESULTADOS!F38),3,IF(AND(VALUE(LEFT(PRONÓSTICOS!D38,FIND("-",PRONÓSTICOS!D38)-1))-VALUE(MID(PRONÓSTICOS!D38,FIND("-",PRONÓSTICOS!D38)+1,10))=RESULTADOS!E38-RESULTADOS!F38,VALUE(LEFT(PRONÓSTICOS!D38,FIND("-",PRONÓSTICOS!D38)-1))&lt;&gt;RESULTADOS!E38),2,IF(SIGN(VALUE(LEFT(PRONÓSTICOS!D38,FIND("-",PRONÓSTICOS!D38)-1))-VALUE(MID(PRONÓSTICOS!D38,FIND("-",PRONÓSTICOS!D38)+1,10)))=SIGN(RESULTADOS!E38-RESULTADOS!F38),1,0))))</f>
        <v/>
      </c>
      <c r="E37" s="12">
        <f>IF(OR(RESULTADOS!E38="",RESULTADOS!E38=0,RESULTADOS!F38=""),"—",IF(AND(VALUE(LEFT(PRONÓSTICOS!E38,FIND("-",PRONÓSTICOS!E38)-1))=RESULTADOS!E38,VALUE(MID(PRONÓSTICOS!E38,FIND("-",PRONÓSTICOS!E38)+1,10))=RESULTADOS!F38),3,IF(AND(VALUE(LEFT(PRONÓSTICOS!E38,FIND("-",PRONÓSTICOS!E38)-1))-VALUE(MID(PRONÓSTICOS!E38,FIND("-",PRONÓSTICOS!E38)+1,10))=RESULTADOS!E38-RESULTADOS!F38,VALUE(LEFT(PRONÓSTICOS!E38,FIND("-",PRONÓSTICOS!E38)-1))&lt;&gt;RESULTADOS!E38),2,IF(SIGN(VALUE(LEFT(PRONÓSTICOS!E38,FIND("-",PRONÓSTICOS!E38)-1))-VALUE(MID(PRONÓSTICOS!E38,FIND("-",PRONÓSTICOS!E38)+1,10)))=SIGN(RESULTADOS!E38-RESULTADOS!F38),1,0))))</f>
        <v/>
      </c>
      <c r="F37" s="12">
        <f>IF(OR(RESULTADOS!E38="",RESULTADOS!E38=0,RESULTADOS!F38=""),"—",IF(AND(VALUE(LEFT(PRONÓSTICOS!F38,FIND("-",PRONÓSTICOS!F38)-1))=RESULTADOS!E38,VALUE(MID(PRONÓSTICOS!F38,FIND("-",PRONÓSTICOS!F38)+1,10))=RESULTADOS!F38),3,IF(AND(VALUE(LEFT(PRONÓSTICOS!F38,FIND("-",PRONÓSTICOS!F38)-1))-VALUE(MID(PRONÓSTICOS!F38,FIND("-",PRONÓSTICOS!F38)+1,10))=RESULTADOS!E38-RESULTADOS!F38,VALUE(LEFT(PRONÓSTICOS!F38,FIND("-",PRONÓSTICOS!F38)-1))&lt;&gt;RESULTADOS!E38),2,IF(SIGN(VALUE(LEFT(PRONÓSTICOS!F38,FIND("-",PRONÓSTICOS!F38)-1))-VALUE(MID(PRONÓSTICOS!F38,FIND("-",PRONÓSTICOS!F38)+1,10)))=SIGN(RESULTADOS!E38-RESULTADOS!F38),1,0))))</f>
        <v/>
      </c>
      <c r="G37" s="12">
        <f>IF(OR(RESULTADOS!E38="",RESULTADOS!E38=0,RESULTADOS!F38=""),"—",IF(AND(VALUE(LEFT(PRONÓSTICOS!G38,FIND("-",PRONÓSTICOS!G38)-1))=RESULTADOS!E38,VALUE(MID(PRONÓSTICOS!G38,FIND("-",PRONÓSTICOS!G38)+1,10))=RESULTADOS!F38),3,IF(AND(VALUE(LEFT(PRONÓSTICOS!G38,FIND("-",PRONÓSTICOS!G38)-1))-VALUE(MID(PRONÓSTICOS!G38,FIND("-",PRONÓSTICOS!G38)+1,10))=RESULTADOS!E38-RESULTADOS!F38,VALUE(LEFT(PRONÓSTICOS!G38,FIND("-",PRONÓSTICOS!G38)-1))&lt;&gt;RESULTADOS!E38),2,IF(SIGN(VALUE(LEFT(PRONÓSTICOS!G38,FIND("-",PRONÓSTICOS!G38)-1))-VALUE(MID(PRONÓSTICOS!G38,FIND("-",PRONÓSTICOS!G38)+1,10)))=SIGN(RESULTADOS!E38-RESULTADOS!F38),1,0))))</f>
        <v/>
      </c>
      <c r="H37" s="12">
        <f>IF(OR(RESULTADOS!E38="",RESULTADOS!E38=0,RESULTADOS!F38=""),"—",IF(AND(VALUE(LEFT(PRONÓSTICOS!H38,FIND("-",PRONÓSTICOS!H38)-1))=RESULTADOS!E38,VALUE(MID(PRONÓSTICOS!H38,FIND("-",PRONÓSTICOS!H38)+1,10))=RESULTADOS!F38),3,IF(AND(VALUE(LEFT(PRONÓSTICOS!H38,FIND("-",PRONÓSTICOS!H38)-1))-VALUE(MID(PRONÓSTICOS!H38,FIND("-",PRONÓSTICOS!H38)+1,10))=RESULTADOS!E38-RESULTADOS!F38,VALUE(LEFT(PRONÓSTICOS!H38,FIND("-",PRONÓSTICOS!H38)-1))&lt;&gt;RESULTADOS!E38),2,IF(SIGN(VALUE(LEFT(PRONÓSTICOS!H38,FIND("-",PRONÓSTICOS!H38)-1))-VALUE(MID(PRONÓSTICOS!H38,FIND("-",PRONÓSTICOS!H38)+1,10)))=SIGN(RESULTADOS!E38-RESULTADOS!F38),1,0))))</f>
        <v/>
      </c>
      <c r="I37" s="12">
        <f>IF(OR(RESULTADOS!E38="",RESULTADOS!E38=0,RESULTADOS!F38=""),"—",IF(AND(VALUE(LEFT(PRONÓSTICOS!I38,FIND("-",PRONÓSTICOS!I38)-1))=RESULTADOS!E38,VALUE(MID(PRONÓSTICOS!I38,FIND("-",PRONÓSTICOS!I38)+1,10))=RESULTADOS!F38),3,IF(AND(VALUE(LEFT(PRONÓSTICOS!I38,FIND("-",PRONÓSTICOS!I38)-1))-VALUE(MID(PRONÓSTICOS!I38,FIND("-",PRONÓSTICOS!I38)+1,10))=RESULTADOS!E38-RESULTADOS!F38,VALUE(LEFT(PRONÓSTICOS!I38,FIND("-",PRONÓSTICOS!I38)-1))&lt;&gt;RESULTADOS!E38),2,IF(SIGN(VALUE(LEFT(PRONÓSTICOS!I38,FIND("-",PRONÓSTICOS!I38)-1))-VALUE(MID(PRONÓSTICOS!I38,FIND("-",PRONÓSTICOS!I38)+1,10)))=SIGN(RESULTADOS!E38-RESULTADOS!F38),1,0))))</f>
        <v/>
      </c>
      <c r="J37" s="12">
        <f>IF(OR(RESULTADOS!E38="",RESULTADOS!E38=0,RESULTADOS!F38=""),"—",IF(AND(VALUE(LEFT(PRONÓSTICOS!J38,FIND("-",PRONÓSTICOS!J38)-1))=RESULTADOS!E38,VALUE(MID(PRONÓSTICOS!J38,FIND("-",PRONÓSTICOS!J38)+1,10))=RESULTADOS!F38),3,IF(AND(VALUE(LEFT(PRONÓSTICOS!J38,FIND("-",PRONÓSTICOS!J38)-1))-VALUE(MID(PRONÓSTICOS!J38,FIND("-",PRONÓSTICOS!J38)+1,10))=RESULTADOS!E38-RESULTADOS!F38,VALUE(LEFT(PRONÓSTICOS!J38,FIND("-",PRONÓSTICOS!J38)-1))&lt;&gt;RESULTADOS!E38),2,IF(SIGN(VALUE(LEFT(PRONÓSTICOS!J38,FIND("-",PRONÓSTICOS!J38)-1))-VALUE(MID(PRONÓSTICOS!J38,FIND("-",PRONÓSTICOS!J38)+1,10)))=SIGN(RESULTADOS!E38-RESULTADOS!F38),1,0))))</f>
        <v/>
      </c>
      <c r="K37" s="12">
        <f>IF(OR(RESULTADOS!E38="",RESULTADOS!E38=0,RESULTADOS!F38=""),"—",IF(AND(VALUE(LEFT(PRONÓSTICOS!K38,FIND("-",PRONÓSTICOS!K38)-1))=RESULTADOS!E38,VALUE(MID(PRONÓSTICOS!K38,FIND("-",PRONÓSTICOS!K38)+1,10))=RESULTADOS!F38),3,IF(AND(VALUE(LEFT(PRONÓSTICOS!K38,FIND("-",PRONÓSTICOS!K38)-1))-VALUE(MID(PRONÓSTICOS!K38,FIND("-",PRONÓSTICOS!K38)+1,10))=RESULTADOS!E38-RESULTADOS!F38,VALUE(LEFT(PRONÓSTICOS!K38,FIND("-",PRONÓSTICOS!K38)-1))&lt;&gt;RESULTADOS!E38),2,IF(SIGN(VALUE(LEFT(PRONÓSTICOS!K38,FIND("-",PRONÓSTICOS!K38)-1))-VALUE(MID(PRONÓSTICOS!K38,FIND("-",PRONÓSTICOS!K38)+1,10)))=SIGN(RESULTADOS!E38-RESULTADOS!F38),1,0))))</f>
        <v/>
      </c>
      <c r="L37" s="12">
        <f>IF(OR(RESULTADOS!E38="",RESULTADOS!E38=0,RESULTADOS!F38=""),"—",IF(AND(VALUE(LEFT(PRONÓSTICOS!L38,FIND("-",PRONÓSTICOS!L38)-1))=RESULTADOS!E38,VALUE(MID(PRONÓSTICOS!L38,FIND("-",PRONÓSTICOS!L38)+1,10))=RESULTADOS!F38),3,IF(AND(VALUE(LEFT(PRONÓSTICOS!L38,FIND("-",PRONÓSTICOS!L38)-1))-VALUE(MID(PRONÓSTICOS!L38,FIND("-",PRONÓSTICOS!L38)+1,10))=RESULTADOS!E38-RESULTADOS!F38,VALUE(LEFT(PRONÓSTICOS!L38,FIND("-",PRONÓSTICOS!L38)-1))&lt;&gt;RESULTADOS!E38),2,IF(SIGN(VALUE(LEFT(PRONÓSTICOS!L38,FIND("-",PRONÓSTICOS!L38)-1))-VALUE(MID(PRONÓSTICOS!L38,FIND("-",PRONÓSTICOS!L38)+1,10)))=SIGN(RESULTADOS!E38-RESULTADOS!F38),1,0))))</f>
        <v/>
      </c>
    </row>
    <row r="38">
      <c r="A38" s="70" t="n">
        <v>36</v>
      </c>
      <c r="B38" s="70" t="inlineStr">
        <is>
          <t>Irán vs Uzbekistán</t>
        </is>
      </c>
      <c r="C38" s="70">
        <f>IF(OR(RESULTADOS!E39="",RESULTADOS!E39=0,RESULTADOS!F39=""),"—",IF(AND(VALUE(LEFT(PRONÓSTICOS!C39,FIND("-",PRONÓSTICOS!C39)-1))=RESULTADOS!E39,VALUE(MID(PRONÓSTICOS!C39,FIND("-",PRONÓSTICOS!C39)+1,10))=RESULTADOS!F39),3,IF(AND(VALUE(LEFT(PRONÓSTICOS!C39,FIND("-",PRONÓSTICOS!C39)-1))-VALUE(MID(PRONÓSTICOS!C39,FIND("-",PRONÓSTICOS!C39)+1,10))=RESULTADOS!E39-RESULTADOS!F39,VALUE(LEFT(PRONÓSTICOS!C39,FIND("-",PRONÓSTICOS!C39)-1))&lt;&gt;RESULTADOS!E39),2,IF(SIGN(VALUE(LEFT(PRONÓSTICOS!C39,FIND("-",PRONÓSTICOS!C39)-1))-VALUE(MID(PRONÓSTICOS!C39,FIND("-",PRONÓSTICOS!C39)+1,10)))=SIGN(RESULTADOS!E39-RESULTADOS!F39),1,0))))</f>
        <v/>
      </c>
      <c r="D38" s="70">
        <f>IF(OR(RESULTADOS!E39="",RESULTADOS!E39=0,RESULTADOS!F39=""),"—",IF(AND(VALUE(LEFT(PRONÓSTICOS!D39,FIND("-",PRONÓSTICOS!D39)-1))=RESULTADOS!E39,VALUE(MID(PRONÓSTICOS!D39,FIND("-",PRONÓSTICOS!D39)+1,10))=RESULTADOS!F39),3,IF(AND(VALUE(LEFT(PRONÓSTICOS!D39,FIND("-",PRONÓSTICOS!D39)-1))-VALUE(MID(PRONÓSTICOS!D39,FIND("-",PRONÓSTICOS!D39)+1,10))=RESULTADOS!E39-RESULTADOS!F39,VALUE(LEFT(PRONÓSTICOS!D39,FIND("-",PRONÓSTICOS!D39)-1))&lt;&gt;RESULTADOS!E39),2,IF(SIGN(VALUE(LEFT(PRONÓSTICOS!D39,FIND("-",PRONÓSTICOS!D39)-1))-VALUE(MID(PRONÓSTICOS!D39,FIND("-",PRONÓSTICOS!D39)+1,10)))=SIGN(RESULTADOS!E39-RESULTADOS!F39),1,0))))</f>
        <v/>
      </c>
      <c r="E38" s="70">
        <f>IF(OR(RESULTADOS!E39="",RESULTADOS!E39=0,RESULTADOS!F39=""),"—",IF(AND(VALUE(LEFT(PRONÓSTICOS!E39,FIND("-",PRONÓSTICOS!E39)-1))=RESULTADOS!E39,VALUE(MID(PRONÓSTICOS!E39,FIND("-",PRONÓSTICOS!E39)+1,10))=RESULTADOS!F39),3,IF(AND(VALUE(LEFT(PRONÓSTICOS!E39,FIND("-",PRONÓSTICOS!E39)-1))-VALUE(MID(PRONÓSTICOS!E39,FIND("-",PRONÓSTICOS!E39)+1,10))=RESULTADOS!E39-RESULTADOS!F39,VALUE(LEFT(PRONÓSTICOS!E39,FIND("-",PRONÓSTICOS!E39)-1))&lt;&gt;RESULTADOS!E39),2,IF(SIGN(VALUE(LEFT(PRONÓSTICOS!E39,FIND("-",PRONÓSTICOS!E39)-1))-VALUE(MID(PRONÓSTICOS!E39,FIND("-",PRONÓSTICOS!E39)+1,10)))=SIGN(RESULTADOS!E39-RESULTADOS!F39),1,0))))</f>
        <v/>
      </c>
      <c r="F38" s="70">
        <f>IF(OR(RESULTADOS!E39="",RESULTADOS!E39=0,RESULTADOS!F39=""),"—",IF(AND(VALUE(LEFT(PRONÓSTICOS!F39,FIND("-",PRONÓSTICOS!F39)-1))=RESULTADOS!E39,VALUE(MID(PRONÓSTICOS!F39,FIND("-",PRONÓSTICOS!F39)+1,10))=RESULTADOS!F39),3,IF(AND(VALUE(LEFT(PRONÓSTICOS!F39,FIND("-",PRONÓSTICOS!F39)-1))-VALUE(MID(PRONÓSTICOS!F39,FIND("-",PRONÓSTICOS!F39)+1,10))=RESULTADOS!E39-RESULTADOS!F39,VALUE(LEFT(PRONÓSTICOS!F39,FIND("-",PRONÓSTICOS!F39)-1))&lt;&gt;RESULTADOS!E39),2,IF(SIGN(VALUE(LEFT(PRONÓSTICOS!F39,FIND("-",PRONÓSTICOS!F39)-1))-VALUE(MID(PRONÓSTICOS!F39,FIND("-",PRONÓSTICOS!F39)+1,10)))=SIGN(RESULTADOS!E39-RESULTADOS!F39),1,0))))</f>
        <v/>
      </c>
      <c r="G38" s="70">
        <f>IF(OR(RESULTADOS!E39="",RESULTADOS!E39=0,RESULTADOS!F39=""),"—",IF(AND(VALUE(LEFT(PRONÓSTICOS!G39,FIND("-",PRONÓSTICOS!G39)-1))=RESULTADOS!E39,VALUE(MID(PRONÓSTICOS!G39,FIND("-",PRONÓSTICOS!G39)+1,10))=RESULTADOS!F39),3,IF(AND(VALUE(LEFT(PRONÓSTICOS!G39,FIND("-",PRONÓSTICOS!G39)-1))-VALUE(MID(PRONÓSTICOS!G39,FIND("-",PRONÓSTICOS!G39)+1,10))=RESULTADOS!E39-RESULTADOS!F39,VALUE(LEFT(PRONÓSTICOS!G39,FIND("-",PRONÓSTICOS!G39)-1))&lt;&gt;RESULTADOS!E39),2,IF(SIGN(VALUE(LEFT(PRONÓSTICOS!G39,FIND("-",PRONÓSTICOS!G39)-1))-VALUE(MID(PRONÓSTICOS!G39,FIND("-",PRONÓSTICOS!G39)+1,10)))=SIGN(RESULTADOS!E39-RESULTADOS!F39),1,0))))</f>
        <v/>
      </c>
      <c r="H38" s="70">
        <f>IF(OR(RESULTADOS!E39="",RESULTADOS!E39=0,RESULTADOS!F39=""),"—",IF(AND(VALUE(LEFT(PRONÓSTICOS!H39,FIND("-",PRONÓSTICOS!H39)-1))=RESULTADOS!E39,VALUE(MID(PRONÓSTICOS!H39,FIND("-",PRONÓSTICOS!H39)+1,10))=RESULTADOS!F39),3,IF(AND(VALUE(LEFT(PRONÓSTICOS!H39,FIND("-",PRONÓSTICOS!H39)-1))-VALUE(MID(PRONÓSTICOS!H39,FIND("-",PRONÓSTICOS!H39)+1,10))=RESULTADOS!E39-RESULTADOS!F39,VALUE(LEFT(PRONÓSTICOS!H39,FIND("-",PRONÓSTICOS!H39)-1))&lt;&gt;RESULTADOS!E39),2,IF(SIGN(VALUE(LEFT(PRONÓSTICOS!H39,FIND("-",PRONÓSTICOS!H39)-1))-VALUE(MID(PRONÓSTICOS!H39,FIND("-",PRONÓSTICOS!H39)+1,10)))=SIGN(RESULTADOS!E39-RESULTADOS!F39),1,0))))</f>
        <v/>
      </c>
      <c r="I38" s="70">
        <f>IF(OR(RESULTADOS!E39="",RESULTADOS!E39=0,RESULTADOS!F39=""),"—",IF(AND(VALUE(LEFT(PRONÓSTICOS!I39,FIND("-",PRONÓSTICOS!I39)-1))=RESULTADOS!E39,VALUE(MID(PRONÓSTICOS!I39,FIND("-",PRONÓSTICOS!I39)+1,10))=RESULTADOS!F39),3,IF(AND(VALUE(LEFT(PRONÓSTICOS!I39,FIND("-",PRONÓSTICOS!I39)-1))-VALUE(MID(PRONÓSTICOS!I39,FIND("-",PRONÓSTICOS!I39)+1,10))=RESULTADOS!E39-RESULTADOS!F39,VALUE(LEFT(PRONÓSTICOS!I39,FIND("-",PRONÓSTICOS!I39)-1))&lt;&gt;RESULTADOS!E39),2,IF(SIGN(VALUE(LEFT(PRONÓSTICOS!I39,FIND("-",PRONÓSTICOS!I39)-1))-VALUE(MID(PRONÓSTICOS!I39,FIND("-",PRONÓSTICOS!I39)+1,10)))=SIGN(RESULTADOS!E39-RESULTADOS!F39),1,0))))</f>
        <v/>
      </c>
      <c r="J38" s="70">
        <f>IF(OR(RESULTADOS!E39="",RESULTADOS!E39=0,RESULTADOS!F39=""),"—",IF(AND(VALUE(LEFT(PRONÓSTICOS!J39,FIND("-",PRONÓSTICOS!J39)-1))=RESULTADOS!E39,VALUE(MID(PRONÓSTICOS!J39,FIND("-",PRONÓSTICOS!J39)+1,10))=RESULTADOS!F39),3,IF(AND(VALUE(LEFT(PRONÓSTICOS!J39,FIND("-",PRONÓSTICOS!J39)-1))-VALUE(MID(PRONÓSTICOS!J39,FIND("-",PRONÓSTICOS!J39)+1,10))=RESULTADOS!E39-RESULTADOS!F39,VALUE(LEFT(PRONÓSTICOS!J39,FIND("-",PRONÓSTICOS!J39)-1))&lt;&gt;RESULTADOS!E39),2,IF(SIGN(VALUE(LEFT(PRONÓSTICOS!J39,FIND("-",PRONÓSTICOS!J39)-1))-VALUE(MID(PRONÓSTICOS!J39,FIND("-",PRONÓSTICOS!J39)+1,10)))=SIGN(RESULTADOS!E39-RESULTADOS!F39),1,0))))</f>
        <v/>
      </c>
      <c r="K38" s="70">
        <f>IF(OR(RESULTADOS!E39="",RESULTADOS!E39=0,RESULTADOS!F39=""),"—",IF(AND(VALUE(LEFT(PRONÓSTICOS!K39,FIND("-",PRONÓSTICOS!K39)-1))=RESULTADOS!E39,VALUE(MID(PRONÓSTICOS!K39,FIND("-",PRONÓSTICOS!K39)+1,10))=RESULTADOS!F39),3,IF(AND(VALUE(LEFT(PRONÓSTICOS!K39,FIND("-",PRONÓSTICOS!K39)-1))-VALUE(MID(PRONÓSTICOS!K39,FIND("-",PRONÓSTICOS!K39)+1,10))=RESULTADOS!E39-RESULTADOS!F39,VALUE(LEFT(PRONÓSTICOS!K39,FIND("-",PRONÓSTICOS!K39)-1))&lt;&gt;RESULTADOS!E39),2,IF(SIGN(VALUE(LEFT(PRONÓSTICOS!K39,FIND("-",PRONÓSTICOS!K39)-1))-VALUE(MID(PRONÓSTICOS!K39,FIND("-",PRONÓSTICOS!K39)+1,10)))=SIGN(RESULTADOS!E39-RESULTADOS!F39),1,0))))</f>
        <v/>
      </c>
      <c r="L38" s="70">
        <f>IF(OR(RESULTADOS!E39="",RESULTADOS!E39=0,RESULTADOS!F39=""),"—",IF(AND(VALUE(LEFT(PRONÓSTICOS!L39,FIND("-",PRONÓSTICOS!L39)-1))=RESULTADOS!E39,VALUE(MID(PRONÓSTICOS!L39,FIND("-",PRONÓSTICOS!L39)+1,10))=RESULTADOS!F39),3,IF(AND(VALUE(LEFT(PRONÓSTICOS!L39,FIND("-",PRONÓSTICOS!L39)-1))-VALUE(MID(PRONÓSTICOS!L39,FIND("-",PRONÓSTICOS!L39)+1,10))=RESULTADOS!E39-RESULTADOS!F39,VALUE(LEFT(PRONÓSTICOS!L39,FIND("-",PRONÓSTICOS!L39)-1))&lt;&gt;RESULTADOS!E39),2,IF(SIGN(VALUE(LEFT(PRONÓSTICOS!L39,FIND("-",PRONÓSTICOS!L39)-1))-VALUE(MID(PRONÓSTICOS!L39,FIND("-",PRONÓSTICOS!L39)+1,10)))=SIGN(RESULTADOS!E39-RESULTADOS!F39),1,0))))</f>
        <v/>
      </c>
    </row>
    <row r="39">
      <c r="A39" s="12" t="n">
        <v>37</v>
      </c>
      <c r="B39" s="12" t="inlineStr">
        <is>
          <t>Senegal vs Nigeria</t>
        </is>
      </c>
      <c r="C39" s="12">
        <f>IF(OR(RESULTADOS!E40="",RESULTADOS!E40=0,RESULTADOS!F40=""),"—",IF(AND(VALUE(LEFT(PRONÓSTICOS!C40,FIND("-",PRONÓSTICOS!C40)-1))=RESULTADOS!E40,VALUE(MID(PRONÓSTICOS!C40,FIND("-",PRONÓSTICOS!C40)+1,10))=RESULTADOS!F40),3,IF(AND(VALUE(LEFT(PRONÓSTICOS!C40,FIND("-",PRONÓSTICOS!C40)-1))-VALUE(MID(PRONÓSTICOS!C40,FIND("-",PRONÓSTICOS!C40)+1,10))=RESULTADOS!E40-RESULTADOS!F40,VALUE(LEFT(PRONÓSTICOS!C40,FIND("-",PRONÓSTICOS!C40)-1))&lt;&gt;RESULTADOS!E40),2,IF(SIGN(VALUE(LEFT(PRONÓSTICOS!C40,FIND("-",PRONÓSTICOS!C40)-1))-VALUE(MID(PRONÓSTICOS!C40,FIND("-",PRONÓSTICOS!C40)+1,10)))=SIGN(RESULTADOS!E40-RESULTADOS!F40),1,0))))</f>
        <v/>
      </c>
      <c r="D39" s="12">
        <f>IF(OR(RESULTADOS!E40="",RESULTADOS!E40=0,RESULTADOS!F40=""),"—",IF(AND(VALUE(LEFT(PRONÓSTICOS!D40,FIND("-",PRONÓSTICOS!D40)-1))=RESULTADOS!E40,VALUE(MID(PRONÓSTICOS!D40,FIND("-",PRONÓSTICOS!D40)+1,10))=RESULTADOS!F40),3,IF(AND(VALUE(LEFT(PRONÓSTICOS!D40,FIND("-",PRONÓSTICOS!D40)-1))-VALUE(MID(PRONÓSTICOS!D40,FIND("-",PRONÓSTICOS!D40)+1,10))=RESULTADOS!E40-RESULTADOS!F40,VALUE(LEFT(PRONÓSTICOS!D40,FIND("-",PRONÓSTICOS!D40)-1))&lt;&gt;RESULTADOS!E40),2,IF(SIGN(VALUE(LEFT(PRONÓSTICOS!D40,FIND("-",PRONÓSTICOS!D40)-1))-VALUE(MID(PRONÓSTICOS!D40,FIND("-",PRONÓSTICOS!D40)+1,10)))=SIGN(RESULTADOS!E40-RESULTADOS!F40),1,0))))</f>
        <v/>
      </c>
      <c r="E39" s="12">
        <f>IF(OR(RESULTADOS!E40="",RESULTADOS!E40=0,RESULTADOS!F40=""),"—",IF(AND(VALUE(LEFT(PRONÓSTICOS!E40,FIND("-",PRONÓSTICOS!E40)-1))=RESULTADOS!E40,VALUE(MID(PRONÓSTICOS!E40,FIND("-",PRONÓSTICOS!E40)+1,10))=RESULTADOS!F40),3,IF(AND(VALUE(LEFT(PRONÓSTICOS!E40,FIND("-",PRONÓSTICOS!E40)-1))-VALUE(MID(PRONÓSTICOS!E40,FIND("-",PRONÓSTICOS!E40)+1,10))=RESULTADOS!E40-RESULTADOS!F40,VALUE(LEFT(PRONÓSTICOS!E40,FIND("-",PRONÓSTICOS!E40)-1))&lt;&gt;RESULTADOS!E40),2,IF(SIGN(VALUE(LEFT(PRONÓSTICOS!E40,FIND("-",PRONÓSTICOS!E40)-1))-VALUE(MID(PRONÓSTICOS!E40,FIND("-",PRONÓSTICOS!E40)+1,10)))=SIGN(RESULTADOS!E40-RESULTADOS!F40),1,0))))</f>
        <v/>
      </c>
      <c r="F39" s="12">
        <f>IF(OR(RESULTADOS!E40="",RESULTADOS!E40=0,RESULTADOS!F40=""),"—",IF(AND(VALUE(LEFT(PRONÓSTICOS!F40,FIND("-",PRONÓSTICOS!F40)-1))=RESULTADOS!E40,VALUE(MID(PRONÓSTICOS!F40,FIND("-",PRONÓSTICOS!F40)+1,10))=RESULTADOS!F40),3,IF(AND(VALUE(LEFT(PRONÓSTICOS!F40,FIND("-",PRONÓSTICOS!F40)-1))-VALUE(MID(PRONÓSTICOS!F40,FIND("-",PRONÓSTICOS!F40)+1,10))=RESULTADOS!E40-RESULTADOS!F40,VALUE(LEFT(PRONÓSTICOS!F40,FIND("-",PRONÓSTICOS!F40)-1))&lt;&gt;RESULTADOS!E40),2,IF(SIGN(VALUE(LEFT(PRONÓSTICOS!F40,FIND("-",PRONÓSTICOS!F40)-1))-VALUE(MID(PRONÓSTICOS!F40,FIND("-",PRONÓSTICOS!F40)+1,10)))=SIGN(RESULTADOS!E40-RESULTADOS!F40),1,0))))</f>
        <v/>
      </c>
      <c r="G39" s="12">
        <f>IF(OR(RESULTADOS!E40="",RESULTADOS!E40=0,RESULTADOS!F40=""),"—",IF(AND(VALUE(LEFT(PRONÓSTICOS!G40,FIND("-",PRONÓSTICOS!G40)-1))=RESULTADOS!E40,VALUE(MID(PRONÓSTICOS!G40,FIND("-",PRONÓSTICOS!G40)+1,10))=RESULTADOS!F40),3,IF(AND(VALUE(LEFT(PRONÓSTICOS!G40,FIND("-",PRONÓSTICOS!G40)-1))-VALUE(MID(PRONÓSTICOS!G40,FIND("-",PRONÓSTICOS!G40)+1,10))=RESULTADOS!E40-RESULTADOS!F40,VALUE(LEFT(PRONÓSTICOS!G40,FIND("-",PRONÓSTICOS!G40)-1))&lt;&gt;RESULTADOS!E40),2,IF(SIGN(VALUE(LEFT(PRONÓSTICOS!G40,FIND("-",PRONÓSTICOS!G40)-1))-VALUE(MID(PRONÓSTICOS!G40,FIND("-",PRONÓSTICOS!G40)+1,10)))=SIGN(RESULTADOS!E40-RESULTADOS!F40),1,0))))</f>
        <v/>
      </c>
      <c r="H39" s="12">
        <f>IF(OR(RESULTADOS!E40="",RESULTADOS!E40=0,RESULTADOS!F40=""),"—",IF(AND(VALUE(LEFT(PRONÓSTICOS!H40,FIND("-",PRONÓSTICOS!H40)-1))=RESULTADOS!E40,VALUE(MID(PRONÓSTICOS!H40,FIND("-",PRONÓSTICOS!H40)+1,10))=RESULTADOS!F40),3,IF(AND(VALUE(LEFT(PRONÓSTICOS!H40,FIND("-",PRONÓSTICOS!H40)-1))-VALUE(MID(PRONÓSTICOS!H40,FIND("-",PRONÓSTICOS!H40)+1,10))=RESULTADOS!E40-RESULTADOS!F40,VALUE(LEFT(PRONÓSTICOS!H40,FIND("-",PRONÓSTICOS!H40)-1))&lt;&gt;RESULTADOS!E40),2,IF(SIGN(VALUE(LEFT(PRONÓSTICOS!H40,FIND("-",PRONÓSTICOS!H40)-1))-VALUE(MID(PRONÓSTICOS!H40,FIND("-",PRONÓSTICOS!H40)+1,10)))=SIGN(RESULTADOS!E40-RESULTADOS!F40),1,0))))</f>
        <v/>
      </c>
      <c r="I39" s="12">
        <f>IF(OR(RESULTADOS!E40="",RESULTADOS!E40=0,RESULTADOS!F40=""),"—",IF(AND(VALUE(LEFT(PRONÓSTICOS!I40,FIND("-",PRONÓSTICOS!I40)-1))=RESULTADOS!E40,VALUE(MID(PRONÓSTICOS!I40,FIND("-",PRONÓSTICOS!I40)+1,10))=RESULTADOS!F40),3,IF(AND(VALUE(LEFT(PRONÓSTICOS!I40,FIND("-",PRONÓSTICOS!I40)-1))-VALUE(MID(PRONÓSTICOS!I40,FIND("-",PRONÓSTICOS!I40)+1,10))=RESULTADOS!E40-RESULTADOS!F40,VALUE(LEFT(PRONÓSTICOS!I40,FIND("-",PRONÓSTICOS!I40)-1))&lt;&gt;RESULTADOS!E40),2,IF(SIGN(VALUE(LEFT(PRONÓSTICOS!I40,FIND("-",PRONÓSTICOS!I40)-1))-VALUE(MID(PRONÓSTICOS!I40,FIND("-",PRONÓSTICOS!I40)+1,10)))=SIGN(RESULTADOS!E40-RESULTADOS!F40),1,0))))</f>
        <v/>
      </c>
      <c r="J39" s="12">
        <f>IF(OR(RESULTADOS!E40="",RESULTADOS!E40=0,RESULTADOS!F40=""),"—",IF(AND(VALUE(LEFT(PRONÓSTICOS!J40,FIND("-",PRONÓSTICOS!J40)-1))=RESULTADOS!E40,VALUE(MID(PRONÓSTICOS!J40,FIND("-",PRONÓSTICOS!J40)+1,10))=RESULTADOS!F40),3,IF(AND(VALUE(LEFT(PRONÓSTICOS!J40,FIND("-",PRONÓSTICOS!J40)-1))-VALUE(MID(PRONÓSTICOS!J40,FIND("-",PRONÓSTICOS!J40)+1,10))=RESULTADOS!E40-RESULTADOS!F40,VALUE(LEFT(PRONÓSTICOS!J40,FIND("-",PRONÓSTICOS!J40)-1))&lt;&gt;RESULTADOS!E40),2,IF(SIGN(VALUE(LEFT(PRONÓSTICOS!J40,FIND("-",PRONÓSTICOS!J40)-1))-VALUE(MID(PRONÓSTICOS!J40,FIND("-",PRONÓSTICOS!J40)+1,10)))=SIGN(RESULTADOS!E40-RESULTADOS!F40),1,0))))</f>
        <v/>
      </c>
      <c r="K39" s="12">
        <f>IF(OR(RESULTADOS!E40="",RESULTADOS!E40=0,RESULTADOS!F40=""),"—",IF(AND(VALUE(LEFT(PRONÓSTICOS!K40,FIND("-",PRONÓSTICOS!K40)-1))=RESULTADOS!E40,VALUE(MID(PRONÓSTICOS!K40,FIND("-",PRONÓSTICOS!K40)+1,10))=RESULTADOS!F40),3,IF(AND(VALUE(LEFT(PRONÓSTICOS!K40,FIND("-",PRONÓSTICOS!K40)-1))-VALUE(MID(PRONÓSTICOS!K40,FIND("-",PRONÓSTICOS!K40)+1,10))=RESULTADOS!E40-RESULTADOS!F40,VALUE(LEFT(PRONÓSTICOS!K40,FIND("-",PRONÓSTICOS!K40)-1))&lt;&gt;RESULTADOS!E40),2,IF(SIGN(VALUE(LEFT(PRONÓSTICOS!K40,FIND("-",PRONÓSTICOS!K40)-1))-VALUE(MID(PRONÓSTICOS!K40,FIND("-",PRONÓSTICOS!K40)+1,10)))=SIGN(RESULTADOS!E40-RESULTADOS!F40),1,0))))</f>
        <v/>
      </c>
      <c r="L39" s="12">
        <f>IF(OR(RESULTADOS!E40="",RESULTADOS!E40=0,RESULTADOS!F40=""),"—",IF(AND(VALUE(LEFT(PRONÓSTICOS!L40,FIND("-",PRONÓSTICOS!L40)-1))=RESULTADOS!E40,VALUE(MID(PRONÓSTICOS!L40,FIND("-",PRONÓSTICOS!L40)+1,10))=RESULTADOS!F40),3,IF(AND(VALUE(LEFT(PRONÓSTICOS!L40,FIND("-",PRONÓSTICOS!L40)-1))-VALUE(MID(PRONÓSTICOS!L40,FIND("-",PRONÓSTICOS!L40)+1,10))=RESULTADOS!E40-RESULTADOS!F40,VALUE(LEFT(PRONÓSTICOS!L40,FIND("-",PRONÓSTICOS!L40)-1))&lt;&gt;RESULTADOS!E40),2,IF(SIGN(VALUE(LEFT(PRONÓSTICOS!L40,FIND("-",PRONÓSTICOS!L40)-1))-VALUE(MID(PRONÓSTICOS!L40,FIND("-",PRONÓSTICOS!L40)+1,10)))=SIGN(RESULTADOS!E40-RESULTADOS!F40),1,0))))</f>
        <v/>
      </c>
    </row>
    <row r="40">
      <c r="A40" s="70" t="n">
        <v>38</v>
      </c>
      <c r="B40" s="70" t="inlineStr">
        <is>
          <t>Sudáfrica vs Senegal</t>
        </is>
      </c>
      <c r="C40" s="70">
        <f>IF(OR(RESULTADOS!E41="",RESULTADOS!E41=0,RESULTADOS!F41=""),"—",IF(AND(VALUE(LEFT(PRONÓSTICOS!C41,FIND("-",PRONÓSTICOS!C41)-1))=RESULTADOS!E41,VALUE(MID(PRONÓSTICOS!C41,FIND("-",PRONÓSTICOS!C41)+1,10))=RESULTADOS!F41),3,IF(AND(VALUE(LEFT(PRONÓSTICOS!C41,FIND("-",PRONÓSTICOS!C41)-1))-VALUE(MID(PRONÓSTICOS!C41,FIND("-",PRONÓSTICOS!C41)+1,10))=RESULTADOS!E41-RESULTADOS!F41,VALUE(LEFT(PRONÓSTICOS!C41,FIND("-",PRONÓSTICOS!C41)-1))&lt;&gt;RESULTADOS!E41),2,IF(SIGN(VALUE(LEFT(PRONÓSTICOS!C41,FIND("-",PRONÓSTICOS!C41)-1))-VALUE(MID(PRONÓSTICOS!C41,FIND("-",PRONÓSTICOS!C41)+1,10)))=SIGN(RESULTADOS!E41-RESULTADOS!F41),1,0))))</f>
        <v/>
      </c>
      <c r="D40" s="70">
        <f>IF(OR(RESULTADOS!E41="",RESULTADOS!E41=0,RESULTADOS!F41=""),"—",IF(AND(VALUE(LEFT(PRONÓSTICOS!D41,FIND("-",PRONÓSTICOS!D41)-1))=RESULTADOS!E41,VALUE(MID(PRONÓSTICOS!D41,FIND("-",PRONÓSTICOS!D41)+1,10))=RESULTADOS!F41),3,IF(AND(VALUE(LEFT(PRONÓSTICOS!D41,FIND("-",PRONÓSTICOS!D41)-1))-VALUE(MID(PRONÓSTICOS!D41,FIND("-",PRONÓSTICOS!D41)+1,10))=RESULTADOS!E41-RESULTADOS!F41,VALUE(LEFT(PRONÓSTICOS!D41,FIND("-",PRONÓSTICOS!D41)-1))&lt;&gt;RESULTADOS!E41),2,IF(SIGN(VALUE(LEFT(PRONÓSTICOS!D41,FIND("-",PRONÓSTICOS!D41)-1))-VALUE(MID(PRONÓSTICOS!D41,FIND("-",PRONÓSTICOS!D41)+1,10)))=SIGN(RESULTADOS!E41-RESULTADOS!F41),1,0))))</f>
        <v/>
      </c>
      <c r="E40" s="70">
        <f>IF(OR(RESULTADOS!E41="",RESULTADOS!E41=0,RESULTADOS!F41=""),"—",IF(AND(VALUE(LEFT(PRONÓSTICOS!E41,FIND("-",PRONÓSTICOS!E41)-1))=RESULTADOS!E41,VALUE(MID(PRONÓSTICOS!E41,FIND("-",PRONÓSTICOS!E41)+1,10))=RESULTADOS!F41),3,IF(AND(VALUE(LEFT(PRONÓSTICOS!E41,FIND("-",PRONÓSTICOS!E41)-1))-VALUE(MID(PRONÓSTICOS!E41,FIND("-",PRONÓSTICOS!E41)+1,10))=RESULTADOS!E41-RESULTADOS!F41,VALUE(LEFT(PRONÓSTICOS!E41,FIND("-",PRONÓSTICOS!E41)-1))&lt;&gt;RESULTADOS!E41),2,IF(SIGN(VALUE(LEFT(PRONÓSTICOS!E41,FIND("-",PRONÓSTICOS!E41)-1))-VALUE(MID(PRONÓSTICOS!E41,FIND("-",PRONÓSTICOS!E41)+1,10)))=SIGN(RESULTADOS!E41-RESULTADOS!F41),1,0))))</f>
        <v/>
      </c>
      <c r="F40" s="70">
        <f>IF(OR(RESULTADOS!E41="",RESULTADOS!E41=0,RESULTADOS!F41=""),"—",IF(AND(VALUE(LEFT(PRONÓSTICOS!F41,FIND("-",PRONÓSTICOS!F41)-1))=RESULTADOS!E41,VALUE(MID(PRONÓSTICOS!F41,FIND("-",PRONÓSTICOS!F41)+1,10))=RESULTADOS!F41),3,IF(AND(VALUE(LEFT(PRONÓSTICOS!F41,FIND("-",PRONÓSTICOS!F41)-1))-VALUE(MID(PRONÓSTICOS!F41,FIND("-",PRONÓSTICOS!F41)+1,10))=RESULTADOS!E41-RESULTADOS!F41,VALUE(LEFT(PRONÓSTICOS!F41,FIND("-",PRONÓSTICOS!F41)-1))&lt;&gt;RESULTADOS!E41),2,IF(SIGN(VALUE(LEFT(PRONÓSTICOS!F41,FIND("-",PRONÓSTICOS!F41)-1))-VALUE(MID(PRONÓSTICOS!F41,FIND("-",PRONÓSTICOS!F41)+1,10)))=SIGN(RESULTADOS!E41-RESULTADOS!F41),1,0))))</f>
        <v/>
      </c>
      <c r="G40" s="70">
        <f>IF(OR(RESULTADOS!E41="",RESULTADOS!E41=0,RESULTADOS!F41=""),"—",IF(AND(VALUE(LEFT(PRONÓSTICOS!G41,FIND("-",PRONÓSTICOS!G41)-1))=RESULTADOS!E41,VALUE(MID(PRONÓSTICOS!G41,FIND("-",PRONÓSTICOS!G41)+1,10))=RESULTADOS!F41),3,IF(AND(VALUE(LEFT(PRONÓSTICOS!G41,FIND("-",PRONÓSTICOS!G41)-1))-VALUE(MID(PRONÓSTICOS!G41,FIND("-",PRONÓSTICOS!G41)+1,10))=RESULTADOS!E41-RESULTADOS!F41,VALUE(LEFT(PRONÓSTICOS!G41,FIND("-",PRONÓSTICOS!G41)-1))&lt;&gt;RESULTADOS!E41),2,IF(SIGN(VALUE(LEFT(PRONÓSTICOS!G41,FIND("-",PRONÓSTICOS!G41)-1))-VALUE(MID(PRONÓSTICOS!G41,FIND("-",PRONÓSTICOS!G41)+1,10)))=SIGN(RESULTADOS!E41-RESULTADOS!F41),1,0))))</f>
        <v/>
      </c>
      <c r="H40" s="70">
        <f>IF(OR(RESULTADOS!E41="",RESULTADOS!E41=0,RESULTADOS!F41=""),"—",IF(AND(VALUE(LEFT(PRONÓSTICOS!H41,FIND("-",PRONÓSTICOS!H41)-1))=RESULTADOS!E41,VALUE(MID(PRONÓSTICOS!H41,FIND("-",PRONÓSTICOS!H41)+1,10))=RESULTADOS!F41),3,IF(AND(VALUE(LEFT(PRONÓSTICOS!H41,FIND("-",PRONÓSTICOS!H41)-1))-VALUE(MID(PRONÓSTICOS!H41,FIND("-",PRONÓSTICOS!H41)+1,10))=RESULTADOS!E41-RESULTADOS!F41,VALUE(LEFT(PRONÓSTICOS!H41,FIND("-",PRONÓSTICOS!H41)-1))&lt;&gt;RESULTADOS!E41),2,IF(SIGN(VALUE(LEFT(PRONÓSTICOS!H41,FIND("-",PRONÓSTICOS!H41)-1))-VALUE(MID(PRONÓSTICOS!H41,FIND("-",PRONÓSTICOS!H41)+1,10)))=SIGN(RESULTADOS!E41-RESULTADOS!F41),1,0))))</f>
        <v/>
      </c>
      <c r="I40" s="70">
        <f>IF(OR(RESULTADOS!E41="",RESULTADOS!E41=0,RESULTADOS!F41=""),"—",IF(AND(VALUE(LEFT(PRONÓSTICOS!I41,FIND("-",PRONÓSTICOS!I41)-1))=RESULTADOS!E41,VALUE(MID(PRONÓSTICOS!I41,FIND("-",PRONÓSTICOS!I41)+1,10))=RESULTADOS!F41),3,IF(AND(VALUE(LEFT(PRONÓSTICOS!I41,FIND("-",PRONÓSTICOS!I41)-1))-VALUE(MID(PRONÓSTICOS!I41,FIND("-",PRONÓSTICOS!I41)+1,10))=RESULTADOS!E41-RESULTADOS!F41,VALUE(LEFT(PRONÓSTICOS!I41,FIND("-",PRONÓSTICOS!I41)-1))&lt;&gt;RESULTADOS!E41),2,IF(SIGN(VALUE(LEFT(PRONÓSTICOS!I41,FIND("-",PRONÓSTICOS!I41)-1))-VALUE(MID(PRONÓSTICOS!I41,FIND("-",PRONÓSTICOS!I41)+1,10)))=SIGN(RESULTADOS!E41-RESULTADOS!F41),1,0))))</f>
        <v/>
      </c>
      <c r="J40" s="70">
        <f>IF(OR(RESULTADOS!E41="",RESULTADOS!E41=0,RESULTADOS!F41=""),"—",IF(AND(VALUE(LEFT(PRONÓSTICOS!J41,FIND("-",PRONÓSTICOS!J41)-1))=RESULTADOS!E41,VALUE(MID(PRONÓSTICOS!J41,FIND("-",PRONÓSTICOS!J41)+1,10))=RESULTADOS!F41),3,IF(AND(VALUE(LEFT(PRONÓSTICOS!J41,FIND("-",PRONÓSTICOS!J41)-1))-VALUE(MID(PRONÓSTICOS!J41,FIND("-",PRONÓSTICOS!J41)+1,10))=RESULTADOS!E41-RESULTADOS!F41,VALUE(LEFT(PRONÓSTICOS!J41,FIND("-",PRONÓSTICOS!J41)-1))&lt;&gt;RESULTADOS!E41),2,IF(SIGN(VALUE(LEFT(PRONÓSTICOS!J41,FIND("-",PRONÓSTICOS!J41)-1))-VALUE(MID(PRONÓSTICOS!J41,FIND("-",PRONÓSTICOS!J41)+1,10)))=SIGN(RESULTADOS!E41-RESULTADOS!F41),1,0))))</f>
        <v/>
      </c>
      <c r="K40" s="70">
        <f>IF(OR(RESULTADOS!E41="",RESULTADOS!E41=0,RESULTADOS!F41=""),"—",IF(AND(VALUE(LEFT(PRONÓSTICOS!K41,FIND("-",PRONÓSTICOS!K41)-1))=RESULTADOS!E41,VALUE(MID(PRONÓSTICOS!K41,FIND("-",PRONÓSTICOS!K41)+1,10))=RESULTADOS!F41),3,IF(AND(VALUE(LEFT(PRONÓSTICOS!K41,FIND("-",PRONÓSTICOS!K41)-1))-VALUE(MID(PRONÓSTICOS!K41,FIND("-",PRONÓSTICOS!K41)+1,10))=RESULTADOS!E41-RESULTADOS!F41,VALUE(LEFT(PRONÓSTICOS!K41,FIND("-",PRONÓSTICOS!K41)-1))&lt;&gt;RESULTADOS!E41),2,IF(SIGN(VALUE(LEFT(PRONÓSTICOS!K41,FIND("-",PRONÓSTICOS!K41)-1))-VALUE(MID(PRONÓSTICOS!K41,FIND("-",PRONÓSTICOS!K41)+1,10)))=SIGN(RESULTADOS!E41-RESULTADOS!F41),1,0))))</f>
        <v/>
      </c>
      <c r="L40" s="70">
        <f>IF(OR(RESULTADOS!E41="",RESULTADOS!E41=0,RESULTADOS!F41=""),"—",IF(AND(VALUE(LEFT(PRONÓSTICOS!L41,FIND("-",PRONÓSTICOS!L41)-1))=RESULTADOS!E41,VALUE(MID(PRONÓSTICOS!L41,FIND("-",PRONÓSTICOS!L41)+1,10))=RESULTADOS!F41),3,IF(AND(VALUE(LEFT(PRONÓSTICOS!L41,FIND("-",PRONÓSTICOS!L41)-1))-VALUE(MID(PRONÓSTICOS!L41,FIND("-",PRONÓSTICOS!L41)+1,10))=RESULTADOS!E41-RESULTADOS!F41,VALUE(LEFT(PRONÓSTICOS!L41,FIND("-",PRONÓSTICOS!L41)-1))&lt;&gt;RESULTADOS!E41),2,IF(SIGN(VALUE(LEFT(PRONÓSTICOS!L41,FIND("-",PRONÓSTICOS!L41)-1))-VALUE(MID(PRONÓSTICOS!L41,FIND("-",PRONÓSTICOS!L41)+1,10)))=SIGN(RESULTADOS!E41-RESULTADOS!F41),1,0))))</f>
        <v/>
      </c>
    </row>
    <row r="41">
      <c r="A41" s="12" t="n">
        <v>39</v>
      </c>
      <c r="B41" s="12" t="inlineStr">
        <is>
          <t>Nigeria vs Sudáfrica</t>
        </is>
      </c>
      <c r="C41" s="12">
        <f>IF(OR(RESULTADOS!E42="",RESULTADOS!E42=0,RESULTADOS!F42=""),"—",IF(AND(VALUE(LEFT(PRONÓSTICOS!C42,FIND("-",PRONÓSTICOS!C42)-1))=RESULTADOS!E42,VALUE(MID(PRONÓSTICOS!C42,FIND("-",PRONÓSTICOS!C42)+1,10))=RESULTADOS!F42),3,IF(AND(VALUE(LEFT(PRONÓSTICOS!C42,FIND("-",PRONÓSTICOS!C42)-1))-VALUE(MID(PRONÓSTICOS!C42,FIND("-",PRONÓSTICOS!C42)+1,10))=RESULTADOS!E42-RESULTADOS!F42,VALUE(LEFT(PRONÓSTICOS!C42,FIND("-",PRONÓSTICOS!C42)-1))&lt;&gt;RESULTADOS!E42),2,IF(SIGN(VALUE(LEFT(PRONÓSTICOS!C42,FIND("-",PRONÓSTICOS!C42)-1))-VALUE(MID(PRONÓSTICOS!C42,FIND("-",PRONÓSTICOS!C42)+1,10)))=SIGN(RESULTADOS!E42-RESULTADOS!F42),1,0))))</f>
        <v/>
      </c>
      <c r="D41" s="12">
        <f>IF(OR(RESULTADOS!E42="",RESULTADOS!E42=0,RESULTADOS!F42=""),"—",IF(AND(VALUE(LEFT(PRONÓSTICOS!D42,FIND("-",PRONÓSTICOS!D42)-1))=RESULTADOS!E42,VALUE(MID(PRONÓSTICOS!D42,FIND("-",PRONÓSTICOS!D42)+1,10))=RESULTADOS!F42),3,IF(AND(VALUE(LEFT(PRONÓSTICOS!D42,FIND("-",PRONÓSTICOS!D42)-1))-VALUE(MID(PRONÓSTICOS!D42,FIND("-",PRONÓSTICOS!D42)+1,10))=RESULTADOS!E42-RESULTADOS!F42,VALUE(LEFT(PRONÓSTICOS!D42,FIND("-",PRONÓSTICOS!D42)-1))&lt;&gt;RESULTADOS!E42),2,IF(SIGN(VALUE(LEFT(PRONÓSTICOS!D42,FIND("-",PRONÓSTICOS!D42)-1))-VALUE(MID(PRONÓSTICOS!D42,FIND("-",PRONÓSTICOS!D42)+1,10)))=SIGN(RESULTADOS!E42-RESULTADOS!F42),1,0))))</f>
        <v/>
      </c>
      <c r="E41" s="12">
        <f>IF(OR(RESULTADOS!E42="",RESULTADOS!E42=0,RESULTADOS!F42=""),"—",IF(AND(VALUE(LEFT(PRONÓSTICOS!E42,FIND("-",PRONÓSTICOS!E42)-1))=RESULTADOS!E42,VALUE(MID(PRONÓSTICOS!E42,FIND("-",PRONÓSTICOS!E42)+1,10))=RESULTADOS!F42),3,IF(AND(VALUE(LEFT(PRONÓSTICOS!E42,FIND("-",PRONÓSTICOS!E42)-1))-VALUE(MID(PRONÓSTICOS!E42,FIND("-",PRONÓSTICOS!E42)+1,10))=RESULTADOS!E42-RESULTADOS!F42,VALUE(LEFT(PRONÓSTICOS!E42,FIND("-",PRONÓSTICOS!E42)-1))&lt;&gt;RESULTADOS!E42),2,IF(SIGN(VALUE(LEFT(PRONÓSTICOS!E42,FIND("-",PRONÓSTICOS!E42)-1))-VALUE(MID(PRONÓSTICOS!E42,FIND("-",PRONÓSTICOS!E42)+1,10)))=SIGN(RESULTADOS!E42-RESULTADOS!F42),1,0))))</f>
        <v/>
      </c>
      <c r="F41" s="12">
        <f>IF(OR(RESULTADOS!E42="",RESULTADOS!E42=0,RESULTADOS!F42=""),"—",IF(AND(VALUE(LEFT(PRONÓSTICOS!F42,FIND("-",PRONÓSTICOS!F42)-1))=RESULTADOS!E42,VALUE(MID(PRONÓSTICOS!F42,FIND("-",PRONÓSTICOS!F42)+1,10))=RESULTADOS!F42),3,IF(AND(VALUE(LEFT(PRONÓSTICOS!F42,FIND("-",PRONÓSTICOS!F42)-1))-VALUE(MID(PRONÓSTICOS!F42,FIND("-",PRONÓSTICOS!F42)+1,10))=RESULTADOS!E42-RESULTADOS!F42,VALUE(LEFT(PRONÓSTICOS!F42,FIND("-",PRONÓSTICOS!F42)-1))&lt;&gt;RESULTADOS!E42),2,IF(SIGN(VALUE(LEFT(PRONÓSTICOS!F42,FIND("-",PRONÓSTICOS!F42)-1))-VALUE(MID(PRONÓSTICOS!F42,FIND("-",PRONÓSTICOS!F42)+1,10)))=SIGN(RESULTADOS!E42-RESULTADOS!F42),1,0))))</f>
        <v/>
      </c>
      <c r="G41" s="12">
        <f>IF(OR(RESULTADOS!E42="",RESULTADOS!E42=0,RESULTADOS!F42=""),"—",IF(AND(VALUE(LEFT(PRONÓSTICOS!G42,FIND("-",PRONÓSTICOS!G42)-1))=RESULTADOS!E42,VALUE(MID(PRONÓSTICOS!G42,FIND("-",PRONÓSTICOS!G42)+1,10))=RESULTADOS!F42),3,IF(AND(VALUE(LEFT(PRONÓSTICOS!G42,FIND("-",PRONÓSTICOS!G42)-1))-VALUE(MID(PRONÓSTICOS!G42,FIND("-",PRONÓSTICOS!G42)+1,10))=RESULTADOS!E42-RESULTADOS!F42,VALUE(LEFT(PRONÓSTICOS!G42,FIND("-",PRONÓSTICOS!G42)-1))&lt;&gt;RESULTADOS!E42),2,IF(SIGN(VALUE(LEFT(PRONÓSTICOS!G42,FIND("-",PRONÓSTICOS!G42)-1))-VALUE(MID(PRONÓSTICOS!G42,FIND("-",PRONÓSTICOS!G42)+1,10)))=SIGN(RESULTADOS!E42-RESULTADOS!F42),1,0))))</f>
        <v/>
      </c>
      <c r="H41" s="12">
        <f>IF(OR(RESULTADOS!E42="",RESULTADOS!E42=0,RESULTADOS!F42=""),"—",IF(AND(VALUE(LEFT(PRONÓSTICOS!H42,FIND("-",PRONÓSTICOS!H42)-1))=RESULTADOS!E42,VALUE(MID(PRONÓSTICOS!H42,FIND("-",PRONÓSTICOS!H42)+1,10))=RESULTADOS!F42),3,IF(AND(VALUE(LEFT(PRONÓSTICOS!H42,FIND("-",PRONÓSTICOS!H42)-1))-VALUE(MID(PRONÓSTICOS!H42,FIND("-",PRONÓSTICOS!H42)+1,10))=RESULTADOS!E42-RESULTADOS!F42,VALUE(LEFT(PRONÓSTICOS!H42,FIND("-",PRONÓSTICOS!H42)-1))&lt;&gt;RESULTADOS!E42),2,IF(SIGN(VALUE(LEFT(PRONÓSTICOS!H42,FIND("-",PRONÓSTICOS!H42)-1))-VALUE(MID(PRONÓSTICOS!H42,FIND("-",PRONÓSTICOS!H42)+1,10)))=SIGN(RESULTADOS!E42-RESULTADOS!F42),1,0))))</f>
        <v/>
      </c>
      <c r="I41" s="12">
        <f>IF(OR(RESULTADOS!E42="",RESULTADOS!E42=0,RESULTADOS!F42=""),"—",IF(AND(VALUE(LEFT(PRONÓSTICOS!I42,FIND("-",PRONÓSTICOS!I42)-1))=RESULTADOS!E42,VALUE(MID(PRONÓSTICOS!I42,FIND("-",PRONÓSTICOS!I42)+1,10))=RESULTADOS!F42),3,IF(AND(VALUE(LEFT(PRONÓSTICOS!I42,FIND("-",PRONÓSTICOS!I42)-1))-VALUE(MID(PRONÓSTICOS!I42,FIND("-",PRONÓSTICOS!I42)+1,10))=RESULTADOS!E42-RESULTADOS!F42,VALUE(LEFT(PRONÓSTICOS!I42,FIND("-",PRONÓSTICOS!I42)-1))&lt;&gt;RESULTADOS!E42),2,IF(SIGN(VALUE(LEFT(PRONÓSTICOS!I42,FIND("-",PRONÓSTICOS!I42)-1))-VALUE(MID(PRONÓSTICOS!I42,FIND("-",PRONÓSTICOS!I42)+1,10)))=SIGN(RESULTADOS!E42-RESULTADOS!F42),1,0))))</f>
        <v/>
      </c>
      <c r="J41" s="12">
        <f>IF(OR(RESULTADOS!E42="",RESULTADOS!E42=0,RESULTADOS!F42=""),"—",IF(AND(VALUE(LEFT(PRONÓSTICOS!J42,FIND("-",PRONÓSTICOS!J42)-1))=RESULTADOS!E42,VALUE(MID(PRONÓSTICOS!J42,FIND("-",PRONÓSTICOS!J42)+1,10))=RESULTADOS!F42),3,IF(AND(VALUE(LEFT(PRONÓSTICOS!J42,FIND("-",PRONÓSTICOS!J42)-1))-VALUE(MID(PRONÓSTICOS!J42,FIND("-",PRONÓSTICOS!J42)+1,10))=RESULTADOS!E42-RESULTADOS!F42,VALUE(LEFT(PRONÓSTICOS!J42,FIND("-",PRONÓSTICOS!J42)-1))&lt;&gt;RESULTADOS!E42),2,IF(SIGN(VALUE(LEFT(PRONÓSTICOS!J42,FIND("-",PRONÓSTICOS!J42)-1))-VALUE(MID(PRONÓSTICOS!J42,FIND("-",PRONÓSTICOS!J42)+1,10)))=SIGN(RESULTADOS!E42-RESULTADOS!F42),1,0))))</f>
        <v/>
      </c>
      <c r="K41" s="12">
        <f>IF(OR(RESULTADOS!E42="",RESULTADOS!E42=0,RESULTADOS!F42=""),"—",IF(AND(VALUE(LEFT(PRONÓSTICOS!K42,FIND("-",PRONÓSTICOS!K42)-1))=RESULTADOS!E42,VALUE(MID(PRONÓSTICOS!K42,FIND("-",PRONÓSTICOS!K42)+1,10))=RESULTADOS!F42),3,IF(AND(VALUE(LEFT(PRONÓSTICOS!K42,FIND("-",PRONÓSTICOS!K42)-1))-VALUE(MID(PRONÓSTICOS!K42,FIND("-",PRONÓSTICOS!K42)+1,10))=RESULTADOS!E42-RESULTADOS!F42,VALUE(LEFT(PRONÓSTICOS!K42,FIND("-",PRONÓSTICOS!K42)-1))&lt;&gt;RESULTADOS!E42),2,IF(SIGN(VALUE(LEFT(PRONÓSTICOS!K42,FIND("-",PRONÓSTICOS!K42)-1))-VALUE(MID(PRONÓSTICOS!K42,FIND("-",PRONÓSTICOS!K42)+1,10)))=SIGN(RESULTADOS!E42-RESULTADOS!F42),1,0))))</f>
        <v/>
      </c>
      <c r="L41" s="12">
        <f>IF(OR(RESULTADOS!E42="",RESULTADOS!E42=0,RESULTADOS!F42=""),"—",IF(AND(VALUE(LEFT(PRONÓSTICOS!L42,FIND("-",PRONÓSTICOS!L42)-1))=RESULTADOS!E42,VALUE(MID(PRONÓSTICOS!L42,FIND("-",PRONÓSTICOS!L42)+1,10))=RESULTADOS!F42),3,IF(AND(VALUE(LEFT(PRONÓSTICOS!L42,FIND("-",PRONÓSTICOS!L42)-1))-VALUE(MID(PRONÓSTICOS!L42,FIND("-",PRONÓSTICOS!L42)+1,10))=RESULTADOS!E42-RESULTADOS!F42,VALUE(LEFT(PRONÓSTICOS!L42,FIND("-",PRONÓSTICOS!L42)-1))&lt;&gt;RESULTADOS!E42),2,IF(SIGN(VALUE(LEFT(PRONÓSTICOS!L42,FIND("-",PRONÓSTICOS!L42)-1))-VALUE(MID(PRONÓSTICOS!L42,FIND("-",PRONÓSTICOS!L42)+1,10)))=SIGN(RESULTADOS!E42-RESULTADOS!F42),1,0))))</f>
        <v/>
      </c>
    </row>
    <row r="42">
      <c r="A42" s="70" t="n">
        <v>40</v>
      </c>
      <c r="B42" s="70" t="inlineStr">
        <is>
          <t>Egipto vs Costa de Marfil</t>
        </is>
      </c>
      <c r="C42" s="70">
        <f>IF(OR(RESULTADOS!E43="",RESULTADOS!E43=0,RESULTADOS!F43=""),"—",IF(AND(VALUE(LEFT(PRONÓSTICOS!C43,FIND("-",PRONÓSTICOS!C43)-1))=RESULTADOS!E43,VALUE(MID(PRONÓSTICOS!C43,FIND("-",PRONÓSTICOS!C43)+1,10))=RESULTADOS!F43),3,IF(AND(VALUE(LEFT(PRONÓSTICOS!C43,FIND("-",PRONÓSTICOS!C43)-1))-VALUE(MID(PRONÓSTICOS!C43,FIND("-",PRONÓSTICOS!C43)+1,10))=RESULTADOS!E43-RESULTADOS!F43,VALUE(LEFT(PRONÓSTICOS!C43,FIND("-",PRONÓSTICOS!C43)-1))&lt;&gt;RESULTADOS!E43),2,IF(SIGN(VALUE(LEFT(PRONÓSTICOS!C43,FIND("-",PRONÓSTICOS!C43)-1))-VALUE(MID(PRONÓSTICOS!C43,FIND("-",PRONÓSTICOS!C43)+1,10)))=SIGN(RESULTADOS!E43-RESULTADOS!F43),1,0))))</f>
        <v/>
      </c>
      <c r="D42" s="70">
        <f>IF(OR(RESULTADOS!E43="",RESULTADOS!E43=0,RESULTADOS!F43=""),"—",IF(AND(VALUE(LEFT(PRONÓSTICOS!D43,FIND("-",PRONÓSTICOS!D43)-1))=RESULTADOS!E43,VALUE(MID(PRONÓSTICOS!D43,FIND("-",PRONÓSTICOS!D43)+1,10))=RESULTADOS!F43),3,IF(AND(VALUE(LEFT(PRONÓSTICOS!D43,FIND("-",PRONÓSTICOS!D43)-1))-VALUE(MID(PRONÓSTICOS!D43,FIND("-",PRONÓSTICOS!D43)+1,10))=RESULTADOS!E43-RESULTADOS!F43,VALUE(LEFT(PRONÓSTICOS!D43,FIND("-",PRONÓSTICOS!D43)-1))&lt;&gt;RESULTADOS!E43),2,IF(SIGN(VALUE(LEFT(PRONÓSTICOS!D43,FIND("-",PRONÓSTICOS!D43)-1))-VALUE(MID(PRONÓSTICOS!D43,FIND("-",PRONÓSTICOS!D43)+1,10)))=SIGN(RESULTADOS!E43-RESULTADOS!F43),1,0))))</f>
        <v/>
      </c>
      <c r="E42" s="70">
        <f>IF(OR(RESULTADOS!E43="",RESULTADOS!E43=0,RESULTADOS!F43=""),"—",IF(AND(VALUE(LEFT(PRONÓSTICOS!E43,FIND("-",PRONÓSTICOS!E43)-1))=RESULTADOS!E43,VALUE(MID(PRONÓSTICOS!E43,FIND("-",PRONÓSTICOS!E43)+1,10))=RESULTADOS!F43),3,IF(AND(VALUE(LEFT(PRONÓSTICOS!E43,FIND("-",PRONÓSTICOS!E43)-1))-VALUE(MID(PRONÓSTICOS!E43,FIND("-",PRONÓSTICOS!E43)+1,10))=RESULTADOS!E43-RESULTADOS!F43,VALUE(LEFT(PRONÓSTICOS!E43,FIND("-",PRONÓSTICOS!E43)-1))&lt;&gt;RESULTADOS!E43),2,IF(SIGN(VALUE(LEFT(PRONÓSTICOS!E43,FIND("-",PRONÓSTICOS!E43)-1))-VALUE(MID(PRONÓSTICOS!E43,FIND("-",PRONÓSTICOS!E43)+1,10)))=SIGN(RESULTADOS!E43-RESULTADOS!F43),1,0))))</f>
        <v/>
      </c>
      <c r="F42" s="70">
        <f>IF(OR(RESULTADOS!E43="",RESULTADOS!E43=0,RESULTADOS!F43=""),"—",IF(AND(VALUE(LEFT(PRONÓSTICOS!F43,FIND("-",PRONÓSTICOS!F43)-1))=RESULTADOS!E43,VALUE(MID(PRONÓSTICOS!F43,FIND("-",PRONÓSTICOS!F43)+1,10))=RESULTADOS!F43),3,IF(AND(VALUE(LEFT(PRONÓSTICOS!F43,FIND("-",PRONÓSTICOS!F43)-1))-VALUE(MID(PRONÓSTICOS!F43,FIND("-",PRONÓSTICOS!F43)+1,10))=RESULTADOS!E43-RESULTADOS!F43,VALUE(LEFT(PRONÓSTICOS!F43,FIND("-",PRONÓSTICOS!F43)-1))&lt;&gt;RESULTADOS!E43),2,IF(SIGN(VALUE(LEFT(PRONÓSTICOS!F43,FIND("-",PRONÓSTICOS!F43)-1))-VALUE(MID(PRONÓSTICOS!F43,FIND("-",PRONÓSTICOS!F43)+1,10)))=SIGN(RESULTADOS!E43-RESULTADOS!F43),1,0))))</f>
        <v/>
      </c>
      <c r="G42" s="70">
        <f>IF(OR(RESULTADOS!E43="",RESULTADOS!E43=0,RESULTADOS!F43=""),"—",IF(AND(VALUE(LEFT(PRONÓSTICOS!G43,FIND("-",PRONÓSTICOS!G43)-1))=RESULTADOS!E43,VALUE(MID(PRONÓSTICOS!G43,FIND("-",PRONÓSTICOS!G43)+1,10))=RESULTADOS!F43),3,IF(AND(VALUE(LEFT(PRONÓSTICOS!G43,FIND("-",PRONÓSTICOS!G43)-1))-VALUE(MID(PRONÓSTICOS!G43,FIND("-",PRONÓSTICOS!G43)+1,10))=RESULTADOS!E43-RESULTADOS!F43,VALUE(LEFT(PRONÓSTICOS!G43,FIND("-",PRONÓSTICOS!G43)-1))&lt;&gt;RESULTADOS!E43),2,IF(SIGN(VALUE(LEFT(PRONÓSTICOS!G43,FIND("-",PRONÓSTICOS!G43)-1))-VALUE(MID(PRONÓSTICOS!G43,FIND("-",PRONÓSTICOS!G43)+1,10)))=SIGN(RESULTADOS!E43-RESULTADOS!F43),1,0))))</f>
        <v/>
      </c>
      <c r="H42" s="70">
        <f>IF(OR(RESULTADOS!E43="",RESULTADOS!E43=0,RESULTADOS!F43=""),"—",IF(AND(VALUE(LEFT(PRONÓSTICOS!H43,FIND("-",PRONÓSTICOS!H43)-1))=RESULTADOS!E43,VALUE(MID(PRONÓSTICOS!H43,FIND("-",PRONÓSTICOS!H43)+1,10))=RESULTADOS!F43),3,IF(AND(VALUE(LEFT(PRONÓSTICOS!H43,FIND("-",PRONÓSTICOS!H43)-1))-VALUE(MID(PRONÓSTICOS!H43,FIND("-",PRONÓSTICOS!H43)+1,10))=RESULTADOS!E43-RESULTADOS!F43,VALUE(LEFT(PRONÓSTICOS!H43,FIND("-",PRONÓSTICOS!H43)-1))&lt;&gt;RESULTADOS!E43),2,IF(SIGN(VALUE(LEFT(PRONÓSTICOS!H43,FIND("-",PRONÓSTICOS!H43)-1))-VALUE(MID(PRONÓSTICOS!H43,FIND("-",PRONÓSTICOS!H43)+1,10)))=SIGN(RESULTADOS!E43-RESULTADOS!F43),1,0))))</f>
        <v/>
      </c>
      <c r="I42" s="70">
        <f>IF(OR(RESULTADOS!E43="",RESULTADOS!E43=0,RESULTADOS!F43=""),"—",IF(AND(VALUE(LEFT(PRONÓSTICOS!I43,FIND("-",PRONÓSTICOS!I43)-1))=RESULTADOS!E43,VALUE(MID(PRONÓSTICOS!I43,FIND("-",PRONÓSTICOS!I43)+1,10))=RESULTADOS!F43),3,IF(AND(VALUE(LEFT(PRONÓSTICOS!I43,FIND("-",PRONÓSTICOS!I43)-1))-VALUE(MID(PRONÓSTICOS!I43,FIND("-",PRONÓSTICOS!I43)+1,10))=RESULTADOS!E43-RESULTADOS!F43,VALUE(LEFT(PRONÓSTICOS!I43,FIND("-",PRONÓSTICOS!I43)-1))&lt;&gt;RESULTADOS!E43),2,IF(SIGN(VALUE(LEFT(PRONÓSTICOS!I43,FIND("-",PRONÓSTICOS!I43)-1))-VALUE(MID(PRONÓSTICOS!I43,FIND("-",PRONÓSTICOS!I43)+1,10)))=SIGN(RESULTADOS!E43-RESULTADOS!F43),1,0))))</f>
        <v/>
      </c>
      <c r="J42" s="70">
        <f>IF(OR(RESULTADOS!E43="",RESULTADOS!E43=0,RESULTADOS!F43=""),"—",IF(AND(VALUE(LEFT(PRONÓSTICOS!J43,FIND("-",PRONÓSTICOS!J43)-1))=RESULTADOS!E43,VALUE(MID(PRONÓSTICOS!J43,FIND("-",PRONÓSTICOS!J43)+1,10))=RESULTADOS!F43),3,IF(AND(VALUE(LEFT(PRONÓSTICOS!J43,FIND("-",PRONÓSTICOS!J43)-1))-VALUE(MID(PRONÓSTICOS!J43,FIND("-",PRONÓSTICOS!J43)+1,10))=RESULTADOS!E43-RESULTADOS!F43,VALUE(LEFT(PRONÓSTICOS!J43,FIND("-",PRONÓSTICOS!J43)-1))&lt;&gt;RESULTADOS!E43),2,IF(SIGN(VALUE(LEFT(PRONÓSTICOS!J43,FIND("-",PRONÓSTICOS!J43)-1))-VALUE(MID(PRONÓSTICOS!J43,FIND("-",PRONÓSTICOS!J43)+1,10)))=SIGN(RESULTADOS!E43-RESULTADOS!F43),1,0))))</f>
        <v/>
      </c>
      <c r="K42" s="70">
        <f>IF(OR(RESULTADOS!E43="",RESULTADOS!E43=0,RESULTADOS!F43=""),"—",IF(AND(VALUE(LEFT(PRONÓSTICOS!K43,FIND("-",PRONÓSTICOS!K43)-1))=RESULTADOS!E43,VALUE(MID(PRONÓSTICOS!K43,FIND("-",PRONÓSTICOS!K43)+1,10))=RESULTADOS!F43),3,IF(AND(VALUE(LEFT(PRONÓSTICOS!K43,FIND("-",PRONÓSTICOS!K43)-1))-VALUE(MID(PRONÓSTICOS!K43,FIND("-",PRONÓSTICOS!K43)+1,10))=RESULTADOS!E43-RESULTADOS!F43,VALUE(LEFT(PRONÓSTICOS!K43,FIND("-",PRONÓSTICOS!K43)-1))&lt;&gt;RESULTADOS!E43),2,IF(SIGN(VALUE(LEFT(PRONÓSTICOS!K43,FIND("-",PRONÓSTICOS!K43)-1))-VALUE(MID(PRONÓSTICOS!K43,FIND("-",PRONÓSTICOS!K43)+1,10)))=SIGN(RESULTADOS!E43-RESULTADOS!F43),1,0))))</f>
        <v/>
      </c>
      <c r="L42" s="70">
        <f>IF(OR(RESULTADOS!E43="",RESULTADOS!E43=0,RESULTADOS!F43=""),"—",IF(AND(VALUE(LEFT(PRONÓSTICOS!L43,FIND("-",PRONÓSTICOS!L43)-1))=RESULTADOS!E43,VALUE(MID(PRONÓSTICOS!L43,FIND("-",PRONÓSTICOS!L43)+1,10))=RESULTADOS!F43),3,IF(AND(VALUE(LEFT(PRONÓSTICOS!L43,FIND("-",PRONÓSTICOS!L43)-1))-VALUE(MID(PRONÓSTICOS!L43,FIND("-",PRONÓSTICOS!L43)+1,10))=RESULTADOS!E43-RESULTADOS!F43,VALUE(LEFT(PRONÓSTICOS!L43,FIND("-",PRONÓSTICOS!L43)-1))&lt;&gt;RESULTADOS!E43),2,IF(SIGN(VALUE(LEFT(PRONÓSTICOS!L43,FIND("-",PRONÓSTICOS!L43)-1))-VALUE(MID(PRONÓSTICOS!L43,FIND("-",PRONÓSTICOS!L43)+1,10)))=SIGN(RESULTADOS!E43-RESULTADOS!F43),1,0))))</f>
        <v/>
      </c>
    </row>
    <row r="43">
      <c r="A43" s="12" t="n">
        <v>41</v>
      </c>
      <c r="B43" s="12" t="inlineStr">
        <is>
          <t>Argelia vs Egipto</t>
        </is>
      </c>
      <c r="C43" s="12">
        <f>IF(OR(RESULTADOS!E44="",RESULTADOS!E44=0,RESULTADOS!F44=""),"—",IF(AND(VALUE(LEFT(PRONÓSTICOS!C44,FIND("-",PRONÓSTICOS!C44)-1))=RESULTADOS!E44,VALUE(MID(PRONÓSTICOS!C44,FIND("-",PRONÓSTICOS!C44)+1,10))=RESULTADOS!F44),3,IF(AND(VALUE(LEFT(PRONÓSTICOS!C44,FIND("-",PRONÓSTICOS!C44)-1))-VALUE(MID(PRONÓSTICOS!C44,FIND("-",PRONÓSTICOS!C44)+1,10))=RESULTADOS!E44-RESULTADOS!F44,VALUE(LEFT(PRONÓSTICOS!C44,FIND("-",PRONÓSTICOS!C44)-1))&lt;&gt;RESULTADOS!E44),2,IF(SIGN(VALUE(LEFT(PRONÓSTICOS!C44,FIND("-",PRONÓSTICOS!C44)-1))-VALUE(MID(PRONÓSTICOS!C44,FIND("-",PRONÓSTICOS!C44)+1,10)))=SIGN(RESULTADOS!E44-RESULTADOS!F44),1,0))))</f>
        <v/>
      </c>
      <c r="D43" s="12">
        <f>IF(OR(RESULTADOS!E44="",RESULTADOS!E44=0,RESULTADOS!F44=""),"—",IF(AND(VALUE(LEFT(PRONÓSTICOS!D44,FIND("-",PRONÓSTICOS!D44)-1))=RESULTADOS!E44,VALUE(MID(PRONÓSTICOS!D44,FIND("-",PRONÓSTICOS!D44)+1,10))=RESULTADOS!F44),3,IF(AND(VALUE(LEFT(PRONÓSTICOS!D44,FIND("-",PRONÓSTICOS!D44)-1))-VALUE(MID(PRONÓSTICOS!D44,FIND("-",PRONÓSTICOS!D44)+1,10))=RESULTADOS!E44-RESULTADOS!F44,VALUE(LEFT(PRONÓSTICOS!D44,FIND("-",PRONÓSTICOS!D44)-1))&lt;&gt;RESULTADOS!E44),2,IF(SIGN(VALUE(LEFT(PRONÓSTICOS!D44,FIND("-",PRONÓSTICOS!D44)-1))-VALUE(MID(PRONÓSTICOS!D44,FIND("-",PRONÓSTICOS!D44)+1,10)))=SIGN(RESULTADOS!E44-RESULTADOS!F44),1,0))))</f>
        <v/>
      </c>
      <c r="E43" s="12">
        <f>IF(OR(RESULTADOS!E44="",RESULTADOS!E44=0,RESULTADOS!F44=""),"—",IF(AND(VALUE(LEFT(PRONÓSTICOS!E44,FIND("-",PRONÓSTICOS!E44)-1))=RESULTADOS!E44,VALUE(MID(PRONÓSTICOS!E44,FIND("-",PRONÓSTICOS!E44)+1,10))=RESULTADOS!F44),3,IF(AND(VALUE(LEFT(PRONÓSTICOS!E44,FIND("-",PRONÓSTICOS!E44)-1))-VALUE(MID(PRONÓSTICOS!E44,FIND("-",PRONÓSTICOS!E44)+1,10))=RESULTADOS!E44-RESULTADOS!F44,VALUE(LEFT(PRONÓSTICOS!E44,FIND("-",PRONÓSTICOS!E44)-1))&lt;&gt;RESULTADOS!E44),2,IF(SIGN(VALUE(LEFT(PRONÓSTICOS!E44,FIND("-",PRONÓSTICOS!E44)-1))-VALUE(MID(PRONÓSTICOS!E44,FIND("-",PRONÓSTICOS!E44)+1,10)))=SIGN(RESULTADOS!E44-RESULTADOS!F44),1,0))))</f>
        <v/>
      </c>
      <c r="F43" s="12">
        <f>IF(OR(RESULTADOS!E44="",RESULTADOS!E44=0,RESULTADOS!F44=""),"—",IF(AND(VALUE(LEFT(PRONÓSTICOS!F44,FIND("-",PRONÓSTICOS!F44)-1))=RESULTADOS!E44,VALUE(MID(PRONÓSTICOS!F44,FIND("-",PRONÓSTICOS!F44)+1,10))=RESULTADOS!F44),3,IF(AND(VALUE(LEFT(PRONÓSTICOS!F44,FIND("-",PRONÓSTICOS!F44)-1))-VALUE(MID(PRONÓSTICOS!F44,FIND("-",PRONÓSTICOS!F44)+1,10))=RESULTADOS!E44-RESULTADOS!F44,VALUE(LEFT(PRONÓSTICOS!F44,FIND("-",PRONÓSTICOS!F44)-1))&lt;&gt;RESULTADOS!E44),2,IF(SIGN(VALUE(LEFT(PRONÓSTICOS!F44,FIND("-",PRONÓSTICOS!F44)-1))-VALUE(MID(PRONÓSTICOS!F44,FIND("-",PRONÓSTICOS!F44)+1,10)))=SIGN(RESULTADOS!E44-RESULTADOS!F44),1,0))))</f>
        <v/>
      </c>
      <c r="G43" s="12">
        <f>IF(OR(RESULTADOS!E44="",RESULTADOS!E44=0,RESULTADOS!F44=""),"—",IF(AND(VALUE(LEFT(PRONÓSTICOS!G44,FIND("-",PRONÓSTICOS!G44)-1))=RESULTADOS!E44,VALUE(MID(PRONÓSTICOS!G44,FIND("-",PRONÓSTICOS!G44)+1,10))=RESULTADOS!F44),3,IF(AND(VALUE(LEFT(PRONÓSTICOS!G44,FIND("-",PRONÓSTICOS!G44)-1))-VALUE(MID(PRONÓSTICOS!G44,FIND("-",PRONÓSTICOS!G44)+1,10))=RESULTADOS!E44-RESULTADOS!F44,VALUE(LEFT(PRONÓSTICOS!G44,FIND("-",PRONÓSTICOS!G44)-1))&lt;&gt;RESULTADOS!E44),2,IF(SIGN(VALUE(LEFT(PRONÓSTICOS!G44,FIND("-",PRONÓSTICOS!G44)-1))-VALUE(MID(PRONÓSTICOS!G44,FIND("-",PRONÓSTICOS!G44)+1,10)))=SIGN(RESULTADOS!E44-RESULTADOS!F44),1,0))))</f>
        <v/>
      </c>
      <c r="H43" s="12">
        <f>IF(OR(RESULTADOS!E44="",RESULTADOS!E44=0,RESULTADOS!F44=""),"—",IF(AND(VALUE(LEFT(PRONÓSTICOS!H44,FIND("-",PRONÓSTICOS!H44)-1))=RESULTADOS!E44,VALUE(MID(PRONÓSTICOS!H44,FIND("-",PRONÓSTICOS!H44)+1,10))=RESULTADOS!F44),3,IF(AND(VALUE(LEFT(PRONÓSTICOS!H44,FIND("-",PRONÓSTICOS!H44)-1))-VALUE(MID(PRONÓSTICOS!H44,FIND("-",PRONÓSTICOS!H44)+1,10))=RESULTADOS!E44-RESULTADOS!F44,VALUE(LEFT(PRONÓSTICOS!H44,FIND("-",PRONÓSTICOS!H44)-1))&lt;&gt;RESULTADOS!E44),2,IF(SIGN(VALUE(LEFT(PRONÓSTICOS!H44,FIND("-",PRONÓSTICOS!H44)-1))-VALUE(MID(PRONÓSTICOS!H44,FIND("-",PRONÓSTICOS!H44)+1,10)))=SIGN(RESULTADOS!E44-RESULTADOS!F44),1,0))))</f>
        <v/>
      </c>
      <c r="I43" s="12">
        <f>IF(OR(RESULTADOS!E44="",RESULTADOS!E44=0,RESULTADOS!F44=""),"—",IF(AND(VALUE(LEFT(PRONÓSTICOS!I44,FIND("-",PRONÓSTICOS!I44)-1))=RESULTADOS!E44,VALUE(MID(PRONÓSTICOS!I44,FIND("-",PRONÓSTICOS!I44)+1,10))=RESULTADOS!F44),3,IF(AND(VALUE(LEFT(PRONÓSTICOS!I44,FIND("-",PRONÓSTICOS!I44)-1))-VALUE(MID(PRONÓSTICOS!I44,FIND("-",PRONÓSTICOS!I44)+1,10))=RESULTADOS!E44-RESULTADOS!F44,VALUE(LEFT(PRONÓSTICOS!I44,FIND("-",PRONÓSTICOS!I44)-1))&lt;&gt;RESULTADOS!E44),2,IF(SIGN(VALUE(LEFT(PRONÓSTICOS!I44,FIND("-",PRONÓSTICOS!I44)-1))-VALUE(MID(PRONÓSTICOS!I44,FIND("-",PRONÓSTICOS!I44)+1,10)))=SIGN(RESULTADOS!E44-RESULTADOS!F44),1,0))))</f>
        <v/>
      </c>
      <c r="J43" s="12">
        <f>IF(OR(RESULTADOS!E44="",RESULTADOS!E44=0,RESULTADOS!F44=""),"—",IF(AND(VALUE(LEFT(PRONÓSTICOS!J44,FIND("-",PRONÓSTICOS!J44)-1))=RESULTADOS!E44,VALUE(MID(PRONÓSTICOS!J44,FIND("-",PRONÓSTICOS!J44)+1,10))=RESULTADOS!F44),3,IF(AND(VALUE(LEFT(PRONÓSTICOS!J44,FIND("-",PRONÓSTICOS!J44)-1))-VALUE(MID(PRONÓSTICOS!J44,FIND("-",PRONÓSTICOS!J44)+1,10))=RESULTADOS!E44-RESULTADOS!F44,VALUE(LEFT(PRONÓSTICOS!J44,FIND("-",PRONÓSTICOS!J44)-1))&lt;&gt;RESULTADOS!E44),2,IF(SIGN(VALUE(LEFT(PRONÓSTICOS!J44,FIND("-",PRONÓSTICOS!J44)-1))-VALUE(MID(PRONÓSTICOS!J44,FIND("-",PRONÓSTICOS!J44)+1,10)))=SIGN(RESULTADOS!E44-RESULTADOS!F44),1,0))))</f>
        <v/>
      </c>
      <c r="K43" s="12">
        <f>IF(OR(RESULTADOS!E44="",RESULTADOS!E44=0,RESULTADOS!F44=""),"—",IF(AND(VALUE(LEFT(PRONÓSTICOS!K44,FIND("-",PRONÓSTICOS!K44)-1))=RESULTADOS!E44,VALUE(MID(PRONÓSTICOS!K44,FIND("-",PRONÓSTICOS!K44)+1,10))=RESULTADOS!F44),3,IF(AND(VALUE(LEFT(PRONÓSTICOS!K44,FIND("-",PRONÓSTICOS!K44)-1))-VALUE(MID(PRONÓSTICOS!K44,FIND("-",PRONÓSTICOS!K44)+1,10))=RESULTADOS!E44-RESULTADOS!F44,VALUE(LEFT(PRONÓSTICOS!K44,FIND("-",PRONÓSTICOS!K44)-1))&lt;&gt;RESULTADOS!E44),2,IF(SIGN(VALUE(LEFT(PRONÓSTICOS!K44,FIND("-",PRONÓSTICOS!K44)-1))-VALUE(MID(PRONÓSTICOS!K44,FIND("-",PRONÓSTICOS!K44)+1,10)))=SIGN(RESULTADOS!E44-RESULTADOS!F44),1,0))))</f>
        <v/>
      </c>
      <c r="L43" s="12">
        <f>IF(OR(RESULTADOS!E44="",RESULTADOS!E44=0,RESULTADOS!F44=""),"—",IF(AND(VALUE(LEFT(PRONÓSTICOS!L44,FIND("-",PRONÓSTICOS!L44)-1))=RESULTADOS!E44,VALUE(MID(PRONÓSTICOS!L44,FIND("-",PRONÓSTICOS!L44)+1,10))=RESULTADOS!F44),3,IF(AND(VALUE(LEFT(PRONÓSTICOS!L44,FIND("-",PRONÓSTICOS!L44)-1))-VALUE(MID(PRONÓSTICOS!L44,FIND("-",PRONÓSTICOS!L44)+1,10))=RESULTADOS!E44-RESULTADOS!F44,VALUE(LEFT(PRONÓSTICOS!L44,FIND("-",PRONÓSTICOS!L44)-1))&lt;&gt;RESULTADOS!E44),2,IF(SIGN(VALUE(LEFT(PRONÓSTICOS!L44,FIND("-",PRONÓSTICOS!L44)-1))-VALUE(MID(PRONÓSTICOS!L44,FIND("-",PRONÓSTICOS!L44)+1,10)))=SIGN(RESULTADOS!E44-RESULTADOS!F44),1,0))))</f>
        <v/>
      </c>
    </row>
    <row r="44">
      <c r="A44" s="70" t="n">
        <v>42</v>
      </c>
      <c r="B44" s="70" t="inlineStr">
        <is>
          <t>Costa de Marfil vs Argelia</t>
        </is>
      </c>
      <c r="C44" s="70">
        <f>IF(OR(RESULTADOS!E45="",RESULTADOS!E45=0,RESULTADOS!F45=""),"—",IF(AND(VALUE(LEFT(PRONÓSTICOS!C45,FIND("-",PRONÓSTICOS!C45)-1))=RESULTADOS!E45,VALUE(MID(PRONÓSTICOS!C45,FIND("-",PRONÓSTICOS!C45)+1,10))=RESULTADOS!F45),3,IF(AND(VALUE(LEFT(PRONÓSTICOS!C45,FIND("-",PRONÓSTICOS!C45)-1))-VALUE(MID(PRONÓSTICOS!C45,FIND("-",PRONÓSTICOS!C45)+1,10))=RESULTADOS!E45-RESULTADOS!F45,VALUE(LEFT(PRONÓSTICOS!C45,FIND("-",PRONÓSTICOS!C45)-1))&lt;&gt;RESULTADOS!E45),2,IF(SIGN(VALUE(LEFT(PRONÓSTICOS!C45,FIND("-",PRONÓSTICOS!C45)-1))-VALUE(MID(PRONÓSTICOS!C45,FIND("-",PRONÓSTICOS!C45)+1,10)))=SIGN(RESULTADOS!E45-RESULTADOS!F45),1,0))))</f>
        <v/>
      </c>
      <c r="D44" s="70">
        <f>IF(OR(RESULTADOS!E45="",RESULTADOS!E45=0,RESULTADOS!F45=""),"—",IF(AND(VALUE(LEFT(PRONÓSTICOS!D45,FIND("-",PRONÓSTICOS!D45)-1))=RESULTADOS!E45,VALUE(MID(PRONÓSTICOS!D45,FIND("-",PRONÓSTICOS!D45)+1,10))=RESULTADOS!F45),3,IF(AND(VALUE(LEFT(PRONÓSTICOS!D45,FIND("-",PRONÓSTICOS!D45)-1))-VALUE(MID(PRONÓSTICOS!D45,FIND("-",PRONÓSTICOS!D45)+1,10))=RESULTADOS!E45-RESULTADOS!F45,VALUE(LEFT(PRONÓSTICOS!D45,FIND("-",PRONÓSTICOS!D45)-1))&lt;&gt;RESULTADOS!E45),2,IF(SIGN(VALUE(LEFT(PRONÓSTICOS!D45,FIND("-",PRONÓSTICOS!D45)-1))-VALUE(MID(PRONÓSTICOS!D45,FIND("-",PRONÓSTICOS!D45)+1,10)))=SIGN(RESULTADOS!E45-RESULTADOS!F45),1,0))))</f>
        <v/>
      </c>
      <c r="E44" s="70">
        <f>IF(OR(RESULTADOS!E45="",RESULTADOS!E45=0,RESULTADOS!F45=""),"—",IF(AND(VALUE(LEFT(PRONÓSTICOS!E45,FIND("-",PRONÓSTICOS!E45)-1))=RESULTADOS!E45,VALUE(MID(PRONÓSTICOS!E45,FIND("-",PRONÓSTICOS!E45)+1,10))=RESULTADOS!F45),3,IF(AND(VALUE(LEFT(PRONÓSTICOS!E45,FIND("-",PRONÓSTICOS!E45)-1))-VALUE(MID(PRONÓSTICOS!E45,FIND("-",PRONÓSTICOS!E45)+1,10))=RESULTADOS!E45-RESULTADOS!F45,VALUE(LEFT(PRONÓSTICOS!E45,FIND("-",PRONÓSTICOS!E45)-1))&lt;&gt;RESULTADOS!E45),2,IF(SIGN(VALUE(LEFT(PRONÓSTICOS!E45,FIND("-",PRONÓSTICOS!E45)-1))-VALUE(MID(PRONÓSTICOS!E45,FIND("-",PRONÓSTICOS!E45)+1,10)))=SIGN(RESULTADOS!E45-RESULTADOS!F45),1,0))))</f>
        <v/>
      </c>
      <c r="F44" s="70">
        <f>IF(OR(RESULTADOS!E45="",RESULTADOS!E45=0,RESULTADOS!F45=""),"—",IF(AND(VALUE(LEFT(PRONÓSTICOS!F45,FIND("-",PRONÓSTICOS!F45)-1))=RESULTADOS!E45,VALUE(MID(PRONÓSTICOS!F45,FIND("-",PRONÓSTICOS!F45)+1,10))=RESULTADOS!F45),3,IF(AND(VALUE(LEFT(PRONÓSTICOS!F45,FIND("-",PRONÓSTICOS!F45)-1))-VALUE(MID(PRONÓSTICOS!F45,FIND("-",PRONÓSTICOS!F45)+1,10))=RESULTADOS!E45-RESULTADOS!F45,VALUE(LEFT(PRONÓSTICOS!F45,FIND("-",PRONÓSTICOS!F45)-1))&lt;&gt;RESULTADOS!E45),2,IF(SIGN(VALUE(LEFT(PRONÓSTICOS!F45,FIND("-",PRONÓSTICOS!F45)-1))-VALUE(MID(PRONÓSTICOS!F45,FIND("-",PRONÓSTICOS!F45)+1,10)))=SIGN(RESULTADOS!E45-RESULTADOS!F45),1,0))))</f>
        <v/>
      </c>
      <c r="G44" s="70">
        <f>IF(OR(RESULTADOS!E45="",RESULTADOS!E45=0,RESULTADOS!F45=""),"—",IF(AND(VALUE(LEFT(PRONÓSTICOS!G45,FIND("-",PRONÓSTICOS!G45)-1))=RESULTADOS!E45,VALUE(MID(PRONÓSTICOS!G45,FIND("-",PRONÓSTICOS!G45)+1,10))=RESULTADOS!F45),3,IF(AND(VALUE(LEFT(PRONÓSTICOS!G45,FIND("-",PRONÓSTICOS!G45)-1))-VALUE(MID(PRONÓSTICOS!G45,FIND("-",PRONÓSTICOS!G45)+1,10))=RESULTADOS!E45-RESULTADOS!F45,VALUE(LEFT(PRONÓSTICOS!G45,FIND("-",PRONÓSTICOS!G45)-1))&lt;&gt;RESULTADOS!E45),2,IF(SIGN(VALUE(LEFT(PRONÓSTICOS!G45,FIND("-",PRONÓSTICOS!G45)-1))-VALUE(MID(PRONÓSTICOS!G45,FIND("-",PRONÓSTICOS!G45)+1,10)))=SIGN(RESULTADOS!E45-RESULTADOS!F45),1,0))))</f>
        <v/>
      </c>
      <c r="H44" s="70">
        <f>IF(OR(RESULTADOS!E45="",RESULTADOS!E45=0,RESULTADOS!F45=""),"—",IF(AND(VALUE(LEFT(PRONÓSTICOS!H45,FIND("-",PRONÓSTICOS!H45)-1))=RESULTADOS!E45,VALUE(MID(PRONÓSTICOS!H45,FIND("-",PRONÓSTICOS!H45)+1,10))=RESULTADOS!F45),3,IF(AND(VALUE(LEFT(PRONÓSTICOS!H45,FIND("-",PRONÓSTICOS!H45)-1))-VALUE(MID(PRONÓSTICOS!H45,FIND("-",PRONÓSTICOS!H45)+1,10))=RESULTADOS!E45-RESULTADOS!F45,VALUE(LEFT(PRONÓSTICOS!H45,FIND("-",PRONÓSTICOS!H45)-1))&lt;&gt;RESULTADOS!E45),2,IF(SIGN(VALUE(LEFT(PRONÓSTICOS!H45,FIND("-",PRONÓSTICOS!H45)-1))-VALUE(MID(PRONÓSTICOS!H45,FIND("-",PRONÓSTICOS!H45)+1,10)))=SIGN(RESULTADOS!E45-RESULTADOS!F45),1,0))))</f>
        <v/>
      </c>
      <c r="I44" s="70">
        <f>IF(OR(RESULTADOS!E45="",RESULTADOS!E45=0,RESULTADOS!F45=""),"—",IF(AND(VALUE(LEFT(PRONÓSTICOS!I45,FIND("-",PRONÓSTICOS!I45)-1))=RESULTADOS!E45,VALUE(MID(PRONÓSTICOS!I45,FIND("-",PRONÓSTICOS!I45)+1,10))=RESULTADOS!F45),3,IF(AND(VALUE(LEFT(PRONÓSTICOS!I45,FIND("-",PRONÓSTICOS!I45)-1))-VALUE(MID(PRONÓSTICOS!I45,FIND("-",PRONÓSTICOS!I45)+1,10))=RESULTADOS!E45-RESULTADOS!F45,VALUE(LEFT(PRONÓSTICOS!I45,FIND("-",PRONÓSTICOS!I45)-1))&lt;&gt;RESULTADOS!E45),2,IF(SIGN(VALUE(LEFT(PRONÓSTICOS!I45,FIND("-",PRONÓSTICOS!I45)-1))-VALUE(MID(PRONÓSTICOS!I45,FIND("-",PRONÓSTICOS!I45)+1,10)))=SIGN(RESULTADOS!E45-RESULTADOS!F45),1,0))))</f>
        <v/>
      </c>
      <c r="J44" s="70">
        <f>IF(OR(RESULTADOS!E45="",RESULTADOS!E45=0,RESULTADOS!F45=""),"—",IF(AND(VALUE(LEFT(PRONÓSTICOS!J45,FIND("-",PRONÓSTICOS!J45)-1))=RESULTADOS!E45,VALUE(MID(PRONÓSTICOS!J45,FIND("-",PRONÓSTICOS!J45)+1,10))=RESULTADOS!F45),3,IF(AND(VALUE(LEFT(PRONÓSTICOS!J45,FIND("-",PRONÓSTICOS!J45)-1))-VALUE(MID(PRONÓSTICOS!J45,FIND("-",PRONÓSTICOS!J45)+1,10))=RESULTADOS!E45-RESULTADOS!F45,VALUE(LEFT(PRONÓSTICOS!J45,FIND("-",PRONÓSTICOS!J45)-1))&lt;&gt;RESULTADOS!E45),2,IF(SIGN(VALUE(LEFT(PRONÓSTICOS!J45,FIND("-",PRONÓSTICOS!J45)-1))-VALUE(MID(PRONÓSTICOS!J45,FIND("-",PRONÓSTICOS!J45)+1,10)))=SIGN(RESULTADOS!E45-RESULTADOS!F45),1,0))))</f>
        <v/>
      </c>
      <c r="K44" s="70">
        <f>IF(OR(RESULTADOS!E45="",RESULTADOS!E45=0,RESULTADOS!F45=""),"—",IF(AND(VALUE(LEFT(PRONÓSTICOS!K45,FIND("-",PRONÓSTICOS!K45)-1))=RESULTADOS!E45,VALUE(MID(PRONÓSTICOS!K45,FIND("-",PRONÓSTICOS!K45)+1,10))=RESULTADOS!F45),3,IF(AND(VALUE(LEFT(PRONÓSTICOS!K45,FIND("-",PRONÓSTICOS!K45)-1))-VALUE(MID(PRONÓSTICOS!K45,FIND("-",PRONÓSTICOS!K45)+1,10))=RESULTADOS!E45-RESULTADOS!F45,VALUE(LEFT(PRONÓSTICOS!K45,FIND("-",PRONÓSTICOS!K45)-1))&lt;&gt;RESULTADOS!E45),2,IF(SIGN(VALUE(LEFT(PRONÓSTICOS!K45,FIND("-",PRONÓSTICOS!K45)-1))-VALUE(MID(PRONÓSTICOS!K45,FIND("-",PRONÓSTICOS!K45)+1,10)))=SIGN(RESULTADOS!E45-RESULTADOS!F45),1,0))))</f>
        <v/>
      </c>
      <c r="L44" s="70">
        <f>IF(OR(RESULTADOS!E45="",RESULTADOS!E45=0,RESULTADOS!F45=""),"—",IF(AND(VALUE(LEFT(PRONÓSTICOS!L45,FIND("-",PRONÓSTICOS!L45)-1))=RESULTADOS!E45,VALUE(MID(PRONÓSTICOS!L45,FIND("-",PRONÓSTICOS!L45)+1,10))=RESULTADOS!F45),3,IF(AND(VALUE(LEFT(PRONÓSTICOS!L45,FIND("-",PRONÓSTICOS!L45)-1))-VALUE(MID(PRONÓSTICOS!L45,FIND("-",PRONÓSTICOS!L45)+1,10))=RESULTADOS!E45-RESULTADOS!F45,VALUE(LEFT(PRONÓSTICOS!L45,FIND("-",PRONÓSTICOS!L45)-1))&lt;&gt;RESULTADOS!E45),2,IF(SIGN(VALUE(LEFT(PRONÓSTICOS!L45,FIND("-",PRONÓSTICOS!L45)-1))-VALUE(MID(PRONÓSTICOS!L45,FIND("-",PRONÓSTICOS!L45)+1,10)))=SIGN(RESULTADOS!E45-RESULTADOS!F45),1,0))))</f>
        <v/>
      </c>
    </row>
    <row r="45">
      <c r="A45" s="12" t="n">
        <v>43</v>
      </c>
      <c r="B45" s="12" t="inlineStr">
        <is>
          <t>Suiza vs Dinamarca</t>
        </is>
      </c>
      <c r="C45" s="12">
        <f>IF(OR(RESULTADOS!E46="",RESULTADOS!E46=0,RESULTADOS!F46=""),"—",IF(AND(VALUE(LEFT(PRONÓSTICOS!C46,FIND("-",PRONÓSTICOS!C46)-1))=RESULTADOS!E46,VALUE(MID(PRONÓSTICOS!C46,FIND("-",PRONÓSTICOS!C46)+1,10))=RESULTADOS!F46),3,IF(AND(VALUE(LEFT(PRONÓSTICOS!C46,FIND("-",PRONÓSTICOS!C46)-1))-VALUE(MID(PRONÓSTICOS!C46,FIND("-",PRONÓSTICOS!C46)+1,10))=RESULTADOS!E46-RESULTADOS!F46,VALUE(LEFT(PRONÓSTICOS!C46,FIND("-",PRONÓSTICOS!C46)-1))&lt;&gt;RESULTADOS!E46),2,IF(SIGN(VALUE(LEFT(PRONÓSTICOS!C46,FIND("-",PRONÓSTICOS!C46)-1))-VALUE(MID(PRONÓSTICOS!C46,FIND("-",PRONÓSTICOS!C46)+1,10)))=SIGN(RESULTADOS!E46-RESULTADOS!F46),1,0))))</f>
        <v/>
      </c>
      <c r="D45" s="12">
        <f>IF(OR(RESULTADOS!E46="",RESULTADOS!E46=0,RESULTADOS!F46=""),"—",IF(AND(VALUE(LEFT(PRONÓSTICOS!D46,FIND("-",PRONÓSTICOS!D46)-1))=RESULTADOS!E46,VALUE(MID(PRONÓSTICOS!D46,FIND("-",PRONÓSTICOS!D46)+1,10))=RESULTADOS!F46),3,IF(AND(VALUE(LEFT(PRONÓSTICOS!D46,FIND("-",PRONÓSTICOS!D46)-1))-VALUE(MID(PRONÓSTICOS!D46,FIND("-",PRONÓSTICOS!D46)+1,10))=RESULTADOS!E46-RESULTADOS!F46,VALUE(LEFT(PRONÓSTICOS!D46,FIND("-",PRONÓSTICOS!D46)-1))&lt;&gt;RESULTADOS!E46),2,IF(SIGN(VALUE(LEFT(PRONÓSTICOS!D46,FIND("-",PRONÓSTICOS!D46)-1))-VALUE(MID(PRONÓSTICOS!D46,FIND("-",PRONÓSTICOS!D46)+1,10)))=SIGN(RESULTADOS!E46-RESULTADOS!F46),1,0))))</f>
        <v/>
      </c>
      <c r="E45" s="12">
        <f>IF(OR(RESULTADOS!E46="",RESULTADOS!E46=0,RESULTADOS!F46=""),"—",IF(AND(VALUE(LEFT(PRONÓSTICOS!E46,FIND("-",PRONÓSTICOS!E46)-1))=RESULTADOS!E46,VALUE(MID(PRONÓSTICOS!E46,FIND("-",PRONÓSTICOS!E46)+1,10))=RESULTADOS!F46),3,IF(AND(VALUE(LEFT(PRONÓSTICOS!E46,FIND("-",PRONÓSTICOS!E46)-1))-VALUE(MID(PRONÓSTICOS!E46,FIND("-",PRONÓSTICOS!E46)+1,10))=RESULTADOS!E46-RESULTADOS!F46,VALUE(LEFT(PRONÓSTICOS!E46,FIND("-",PRONÓSTICOS!E46)-1))&lt;&gt;RESULTADOS!E46),2,IF(SIGN(VALUE(LEFT(PRONÓSTICOS!E46,FIND("-",PRONÓSTICOS!E46)-1))-VALUE(MID(PRONÓSTICOS!E46,FIND("-",PRONÓSTICOS!E46)+1,10)))=SIGN(RESULTADOS!E46-RESULTADOS!F46),1,0))))</f>
        <v/>
      </c>
      <c r="F45" s="12">
        <f>IF(OR(RESULTADOS!E46="",RESULTADOS!E46=0,RESULTADOS!F46=""),"—",IF(AND(VALUE(LEFT(PRONÓSTICOS!F46,FIND("-",PRONÓSTICOS!F46)-1))=RESULTADOS!E46,VALUE(MID(PRONÓSTICOS!F46,FIND("-",PRONÓSTICOS!F46)+1,10))=RESULTADOS!F46),3,IF(AND(VALUE(LEFT(PRONÓSTICOS!F46,FIND("-",PRONÓSTICOS!F46)-1))-VALUE(MID(PRONÓSTICOS!F46,FIND("-",PRONÓSTICOS!F46)+1,10))=RESULTADOS!E46-RESULTADOS!F46,VALUE(LEFT(PRONÓSTICOS!F46,FIND("-",PRONÓSTICOS!F46)-1))&lt;&gt;RESULTADOS!E46),2,IF(SIGN(VALUE(LEFT(PRONÓSTICOS!F46,FIND("-",PRONÓSTICOS!F46)-1))-VALUE(MID(PRONÓSTICOS!F46,FIND("-",PRONÓSTICOS!F46)+1,10)))=SIGN(RESULTADOS!E46-RESULTADOS!F46),1,0))))</f>
        <v/>
      </c>
      <c r="G45" s="12">
        <f>IF(OR(RESULTADOS!E46="",RESULTADOS!E46=0,RESULTADOS!F46=""),"—",IF(AND(VALUE(LEFT(PRONÓSTICOS!G46,FIND("-",PRONÓSTICOS!G46)-1))=RESULTADOS!E46,VALUE(MID(PRONÓSTICOS!G46,FIND("-",PRONÓSTICOS!G46)+1,10))=RESULTADOS!F46),3,IF(AND(VALUE(LEFT(PRONÓSTICOS!G46,FIND("-",PRONÓSTICOS!G46)-1))-VALUE(MID(PRONÓSTICOS!G46,FIND("-",PRONÓSTICOS!G46)+1,10))=RESULTADOS!E46-RESULTADOS!F46,VALUE(LEFT(PRONÓSTICOS!G46,FIND("-",PRONÓSTICOS!G46)-1))&lt;&gt;RESULTADOS!E46),2,IF(SIGN(VALUE(LEFT(PRONÓSTICOS!G46,FIND("-",PRONÓSTICOS!G46)-1))-VALUE(MID(PRONÓSTICOS!G46,FIND("-",PRONÓSTICOS!G46)+1,10)))=SIGN(RESULTADOS!E46-RESULTADOS!F46),1,0))))</f>
        <v/>
      </c>
      <c r="H45" s="12">
        <f>IF(OR(RESULTADOS!E46="",RESULTADOS!E46=0,RESULTADOS!F46=""),"—",IF(AND(VALUE(LEFT(PRONÓSTICOS!H46,FIND("-",PRONÓSTICOS!H46)-1))=RESULTADOS!E46,VALUE(MID(PRONÓSTICOS!H46,FIND("-",PRONÓSTICOS!H46)+1,10))=RESULTADOS!F46),3,IF(AND(VALUE(LEFT(PRONÓSTICOS!H46,FIND("-",PRONÓSTICOS!H46)-1))-VALUE(MID(PRONÓSTICOS!H46,FIND("-",PRONÓSTICOS!H46)+1,10))=RESULTADOS!E46-RESULTADOS!F46,VALUE(LEFT(PRONÓSTICOS!H46,FIND("-",PRONÓSTICOS!H46)-1))&lt;&gt;RESULTADOS!E46),2,IF(SIGN(VALUE(LEFT(PRONÓSTICOS!H46,FIND("-",PRONÓSTICOS!H46)-1))-VALUE(MID(PRONÓSTICOS!H46,FIND("-",PRONÓSTICOS!H46)+1,10)))=SIGN(RESULTADOS!E46-RESULTADOS!F46),1,0))))</f>
        <v/>
      </c>
      <c r="I45" s="12">
        <f>IF(OR(RESULTADOS!E46="",RESULTADOS!E46=0,RESULTADOS!F46=""),"—",IF(AND(VALUE(LEFT(PRONÓSTICOS!I46,FIND("-",PRONÓSTICOS!I46)-1))=RESULTADOS!E46,VALUE(MID(PRONÓSTICOS!I46,FIND("-",PRONÓSTICOS!I46)+1,10))=RESULTADOS!F46),3,IF(AND(VALUE(LEFT(PRONÓSTICOS!I46,FIND("-",PRONÓSTICOS!I46)-1))-VALUE(MID(PRONÓSTICOS!I46,FIND("-",PRONÓSTICOS!I46)+1,10))=RESULTADOS!E46-RESULTADOS!F46,VALUE(LEFT(PRONÓSTICOS!I46,FIND("-",PRONÓSTICOS!I46)-1))&lt;&gt;RESULTADOS!E46),2,IF(SIGN(VALUE(LEFT(PRONÓSTICOS!I46,FIND("-",PRONÓSTICOS!I46)-1))-VALUE(MID(PRONÓSTICOS!I46,FIND("-",PRONÓSTICOS!I46)+1,10)))=SIGN(RESULTADOS!E46-RESULTADOS!F46),1,0))))</f>
        <v/>
      </c>
      <c r="J45" s="12">
        <f>IF(OR(RESULTADOS!E46="",RESULTADOS!E46=0,RESULTADOS!F46=""),"—",IF(AND(VALUE(LEFT(PRONÓSTICOS!J46,FIND("-",PRONÓSTICOS!J46)-1))=RESULTADOS!E46,VALUE(MID(PRONÓSTICOS!J46,FIND("-",PRONÓSTICOS!J46)+1,10))=RESULTADOS!F46),3,IF(AND(VALUE(LEFT(PRONÓSTICOS!J46,FIND("-",PRONÓSTICOS!J46)-1))-VALUE(MID(PRONÓSTICOS!J46,FIND("-",PRONÓSTICOS!J46)+1,10))=RESULTADOS!E46-RESULTADOS!F46,VALUE(LEFT(PRONÓSTICOS!J46,FIND("-",PRONÓSTICOS!J46)-1))&lt;&gt;RESULTADOS!E46),2,IF(SIGN(VALUE(LEFT(PRONÓSTICOS!J46,FIND("-",PRONÓSTICOS!J46)-1))-VALUE(MID(PRONÓSTICOS!J46,FIND("-",PRONÓSTICOS!J46)+1,10)))=SIGN(RESULTADOS!E46-RESULTADOS!F46),1,0))))</f>
        <v/>
      </c>
      <c r="K45" s="12">
        <f>IF(OR(RESULTADOS!E46="",RESULTADOS!E46=0,RESULTADOS!F46=""),"—",IF(AND(VALUE(LEFT(PRONÓSTICOS!K46,FIND("-",PRONÓSTICOS!K46)-1))=RESULTADOS!E46,VALUE(MID(PRONÓSTICOS!K46,FIND("-",PRONÓSTICOS!K46)+1,10))=RESULTADOS!F46),3,IF(AND(VALUE(LEFT(PRONÓSTICOS!K46,FIND("-",PRONÓSTICOS!K46)-1))-VALUE(MID(PRONÓSTICOS!K46,FIND("-",PRONÓSTICOS!K46)+1,10))=RESULTADOS!E46-RESULTADOS!F46,VALUE(LEFT(PRONÓSTICOS!K46,FIND("-",PRONÓSTICOS!K46)-1))&lt;&gt;RESULTADOS!E46),2,IF(SIGN(VALUE(LEFT(PRONÓSTICOS!K46,FIND("-",PRONÓSTICOS!K46)-1))-VALUE(MID(PRONÓSTICOS!K46,FIND("-",PRONÓSTICOS!K46)+1,10)))=SIGN(RESULTADOS!E46-RESULTADOS!F46),1,0))))</f>
        <v/>
      </c>
      <c r="L45" s="12">
        <f>IF(OR(RESULTADOS!E46="",RESULTADOS!E46=0,RESULTADOS!F46=""),"—",IF(AND(VALUE(LEFT(PRONÓSTICOS!L46,FIND("-",PRONÓSTICOS!L46)-1))=RESULTADOS!E46,VALUE(MID(PRONÓSTICOS!L46,FIND("-",PRONÓSTICOS!L46)+1,10))=RESULTADOS!F46),3,IF(AND(VALUE(LEFT(PRONÓSTICOS!L46,FIND("-",PRONÓSTICOS!L46)-1))-VALUE(MID(PRONÓSTICOS!L46,FIND("-",PRONÓSTICOS!L46)+1,10))=RESULTADOS!E46-RESULTADOS!F46,VALUE(LEFT(PRONÓSTICOS!L46,FIND("-",PRONÓSTICOS!L46)-1))&lt;&gt;RESULTADOS!E46),2,IF(SIGN(VALUE(LEFT(PRONÓSTICOS!L46,FIND("-",PRONÓSTICOS!L46)-1))-VALUE(MID(PRONÓSTICOS!L46,FIND("-",PRONÓSTICOS!L46)+1,10)))=SIGN(RESULTADOS!E46-RESULTADOS!F46),1,0))))</f>
        <v/>
      </c>
    </row>
    <row r="46">
      <c r="A46" s="70" t="n">
        <v>44</v>
      </c>
      <c r="B46" s="70" t="inlineStr">
        <is>
          <t>Escocia vs Suiza</t>
        </is>
      </c>
      <c r="C46" s="70">
        <f>IF(OR(RESULTADOS!E47="",RESULTADOS!E47=0,RESULTADOS!F47=""),"—",IF(AND(VALUE(LEFT(PRONÓSTICOS!C47,FIND("-",PRONÓSTICOS!C47)-1))=RESULTADOS!E47,VALUE(MID(PRONÓSTICOS!C47,FIND("-",PRONÓSTICOS!C47)+1,10))=RESULTADOS!F47),3,IF(AND(VALUE(LEFT(PRONÓSTICOS!C47,FIND("-",PRONÓSTICOS!C47)-1))-VALUE(MID(PRONÓSTICOS!C47,FIND("-",PRONÓSTICOS!C47)+1,10))=RESULTADOS!E47-RESULTADOS!F47,VALUE(LEFT(PRONÓSTICOS!C47,FIND("-",PRONÓSTICOS!C47)-1))&lt;&gt;RESULTADOS!E47),2,IF(SIGN(VALUE(LEFT(PRONÓSTICOS!C47,FIND("-",PRONÓSTICOS!C47)-1))-VALUE(MID(PRONÓSTICOS!C47,FIND("-",PRONÓSTICOS!C47)+1,10)))=SIGN(RESULTADOS!E47-RESULTADOS!F47),1,0))))</f>
        <v/>
      </c>
      <c r="D46" s="70">
        <f>IF(OR(RESULTADOS!E47="",RESULTADOS!E47=0,RESULTADOS!F47=""),"—",IF(AND(VALUE(LEFT(PRONÓSTICOS!D47,FIND("-",PRONÓSTICOS!D47)-1))=RESULTADOS!E47,VALUE(MID(PRONÓSTICOS!D47,FIND("-",PRONÓSTICOS!D47)+1,10))=RESULTADOS!F47),3,IF(AND(VALUE(LEFT(PRONÓSTICOS!D47,FIND("-",PRONÓSTICOS!D47)-1))-VALUE(MID(PRONÓSTICOS!D47,FIND("-",PRONÓSTICOS!D47)+1,10))=RESULTADOS!E47-RESULTADOS!F47,VALUE(LEFT(PRONÓSTICOS!D47,FIND("-",PRONÓSTICOS!D47)-1))&lt;&gt;RESULTADOS!E47),2,IF(SIGN(VALUE(LEFT(PRONÓSTICOS!D47,FIND("-",PRONÓSTICOS!D47)-1))-VALUE(MID(PRONÓSTICOS!D47,FIND("-",PRONÓSTICOS!D47)+1,10)))=SIGN(RESULTADOS!E47-RESULTADOS!F47),1,0))))</f>
        <v/>
      </c>
      <c r="E46" s="70">
        <f>IF(OR(RESULTADOS!E47="",RESULTADOS!E47=0,RESULTADOS!F47=""),"—",IF(AND(VALUE(LEFT(PRONÓSTICOS!E47,FIND("-",PRONÓSTICOS!E47)-1))=RESULTADOS!E47,VALUE(MID(PRONÓSTICOS!E47,FIND("-",PRONÓSTICOS!E47)+1,10))=RESULTADOS!F47),3,IF(AND(VALUE(LEFT(PRONÓSTICOS!E47,FIND("-",PRONÓSTICOS!E47)-1))-VALUE(MID(PRONÓSTICOS!E47,FIND("-",PRONÓSTICOS!E47)+1,10))=RESULTADOS!E47-RESULTADOS!F47,VALUE(LEFT(PRONÓSTICOS!E47,FIND("-",PRONÓSTICOS!E47)-1))&lt;&gt;RESULTADOS!E47),2,IF(SIGN(VALUE(LEFT(PRONÓSTICOS!E47,FIND("-",PRONÓSTICOS!E47)-1))-VALUE(MID(PRONÓSTICOS!E47,FIND("-",PRONÓSTICOS!E47)+1,10)))=SIGN(RESULTADOS!E47-RESULTADOS!F47),1,0))))</f>
        <v/>
      </c>
      <c r="F46" s="70">
        <f>IF(OR(RESULTADOS!E47="",RESULTADOS!E47=0,RESULTADOS!F47=""),"—",IF(AND(VALUE(LEFT(PRONÓSTICOS!F47,FIND("-",PRONÓSTICOS!F47)-1))=RESULTADOS!E47,VALUE(MID(PRONÓSTICOS!F47,FIND("-",PRONÓSTICOS!F47)+1,10))=RESULTADOS!F47),3,IF(AND(VALUE(LEFT(PRONÓSTICOS!F47,FIND("-",PRONÓSTICOS!F47)-1))-VALUE(MID(PRONÓSTICOS!F47,FIND("-",PRONÓSTICOS!F47)+1,10))=RESULTADOS!E47-RESULTADOS!F47,VALUE(LEFT(PRONÓSTICOS!F47,FIND("-",PRONÓSTICOS!F47)-1))&lt;&gt;RESULTADOS!E47),2,IF(SIGN(VALUE(LEFT(PRONÓSTICOS!F47,FIND("-",PRONÓSTICOS!F47)-1))-VALUE(MID(PRONÓSTICOS!F47,FIND("-",PRONÓSTICOS!F47)+1,10)))=SIGN(RESULTADOS!E47-RESULTADOS!F47),1,0))))</f>
        <v/>
      </c>
      <c r="G46" s="70">
        <f>IF(OR(RESULTADOS!E47="",RESULTADOS!E47=0,RESULTADOS!F47=""),"—",IF(AND(VALUE(LEFT(PRONÓSTICOS!G47,FIND("-",PRONÓSTICOS!G47)-1))=RESULTADOS!E47,VALUE(MID(PRONÓSTICOS!G47,FIND("-",PRONÓSTICOS!G47)+1,10))=RESULTADOS!F47),3,IF(AND(VALUE(LEFT(PRONÓSTICOS!G47,FIND("-",PRONÓSTICOS!G47)-1))-VALUE(MID(PRONÓSTICOS!G47,FIND("-",PRONÓSTICOS!G47)+1,10))=RESULTADOS!E47-RESULTADOS!F47,VALUE(LEFT(PRONÓSTICOS!G47,FIND("-",PRONÓSTICOS!G47)-1))&lt;&gt;RESULTADOS!E47),2,IF(SIGN(VALUE(LEFT(PRONÓSTICOS!G47,FIND("-",PRONÓSTICOS!G47)-1))-VALUE(MID(PRONÓSTICOS!G47,FIND("-",PRONÓSTICOS!G47)+1,10)))=SIGN(RESULTADOS!E47-RESULTADOS!F47),1,0))))</f>
        <v/>
      </c>
      <c r="H46" s="70">
        <f>IF(OR(RESULTADOS!E47="",RESULTADOS!E47=0,RESULTADOS!F47=""),"—",IF(AND(VALUE(LEFT(PRONÓSTICOS!H47,FIND("-",PRONÓSTICOS!H47)-1))=RESULTADOS!E47,VALUE(MID(PRONÓSTICOS!H47,FIND("-",PRONÓSTICOS!H47)+1,10))=RESULTADOS!F47),3,IF(AND(VALUE(LEFT(PRONÓSTICOS!H47,FIND("-",PRONÓSTICOS!H47)-1))-VALUE(MID(PRONÓSTICOS!H47,FIND("-",PRONÓSTICOS!H47)+1,10))=RESULTADOS!E47-RESULTADOS!F47,VALUE(LEFT(PRONÓSTICOS!H47,FIND("-",PRONÓSTICOS!H47)-1))&lt;&gt;RESULTADOS!E47),2,IF(SIGN(VALUE(LEFT(PRONÓSTICOS!H47,FIND("-",PRONÓSTICOS!H47)-1))-VALUE(MID(PRONÓSTICOS!H47,FIND("-",PRONÓSTICOS!H47)+1,10)))=SIGN(RESULTADOS!E47-RESULTADOS!F47),1,0))))</f>
        <v/>
      </c>
      <c r="I46" s="70">
        <f>IF(OR(RESULTADOS!E47="",RESULTADOS!E47=0,RESULTADOS!F47=""),"—",IF(AND(VALUE(LEFT(PRONÓSTICOS!I47,FIND("-",PRONÓSTICOS!I47)-1))=RESULTADOS!E47,VALUE(MID(PRONÓSTICOS!I47,FIND("-",PRONÓSTICOS!I47)+1,10))=RESULTADOS!F47),3,IF(AND(VALUE(LEFT(PRONÓSTICOS!I47,FIND("-",PRONÓSTICOS!I47)-1))-VALUE(MID(PRONÓSTICOS!I47,FIND("-",PRONÓSTICOS!I47)+1,10))=RESULTADOS!E47-RESULTADOS!F47,VALUE(LEFT(PRONÓSTICOS!I47,FIND("-",PRONÓSTICOS!I47)-1))&lt;&gt;RESULTADOS!E47),2,IF(SIGN(VALUE(LEFT(PRONÓSTICOS!I47,FIND("-",PRONÓSTICOS!I47)-1))-VALUE(MID(PRONÓSTICOS!I47,FIND("-",PRONÓSTICOS!I47)+1,10)))=SIGN(RESULTADOS!E47-RESULTADOS!F47),1,0))))</f>
        <v/>
      </c>
      <c r="J46" s="70">
        <f>IF(OR(RESULTADOS!E47="",RESULTADOS!E47=0,RESULTADOS!F47=""),"—",IF(AND(VALUE(LEFT(PRONÓSTICOS!J47,FIND("-",PRONÓSTICOS!J47)-1))=RESULTADOS!E47,VALUE(MID(PRONÓSTICOS!J47,FIND("-",PRONÓSTICOS!J47)+1,10))=RESULTADOS!F47),3,IF(AND(VALUE(LEFT(PRONÓSTICOS!J47,FIND("-",PRONÓSTICOS!J47)-1))-VALUE(MID(PRONÓSTICOS!J47,FIND("-",PRONÓSTICOS!J47)+1,10))=RESULTADOS!E47-RESULTADOS!F47,VALUE(LEFT(PRONÓSTICOS!J47,FIND("-",PRONÓSTICOS!J47)-1))&lt;&gt;RESULTADOS!E47),2,IF(SIGN(VALUE(LEFT(PRONÓSTICOS!J47,FIND("-",PRONÓSTICOS!J47)-1))-VALUE(MID(PRONÓSTICOS!J47,FIND("-",PRONÓSTICOS!J47)+1,10)))=SIGN(RESULTADOS!E47-RESULTADOS!F47),1,0))))</f>
        <v/>
      </c>
      <c r="K46" s="70">
        <f>IF(OR(RESULTADOS!E47="",RESULTADOS!E47=0,RESULTADOS!F47=""),"—",IF(AND(VALUE(LEFT(PRONÓSTICOS!K47,FIND("-",PRONÓSTICOS!K47)-1))=RESULTADOS!E47,VALUE(MID(PRONÓSTICOS!K47,FIND("-",PRONÓSTICOS!K47)+1,10))=RESULTADOS!F47),3,IF(AND(VALUE(LEFT(PRONÓSTICOS!K47,FIND("-",PRONÓSTICOS!K47)-1))-VALUE(MID(PRONÓSTICOS!K47,FIND("-",PRONÓSTICOS!K47)+1,10))=RESULTADOS!E47-RESULTADOS!F47,VALUE(LEFT(PRONÓSTICOS!K47,FIND("-",PRONÓSTICOS!K47)-1))&lt;&gt;RESULTADOS!E47),2,IF(SIGN(VALUE(LEFT(PRONÓSTICOS!K47,FIND("-",PRONÓSTICOS!K47)-1))-VALUE(MID(PRONÓSTICOS!K47,FIND("-",PRONÓSTICOS!K47)+1,10)))=SIGN(RESULTADOS!E47-RESULTADOS!F47),1,0))))</f>
        <v/>
      </c>
      <c r="L46" s="70">
        <f>IF(OR(RESULTADOS!E47="",RESULTADOS!E47=0,RESULTADOS!F47=""),"—",IF(AND(VALUE(LEFT(PRONÓSTICOS!L47,FIND("-",PRONÓSTICOS!L47)-1))=RESULTADOS!E47,VALUE(MID(PRONÓSTICOS!L47,FIND("-",PRONÓSTICOS!L47)+1,10))=RESULTADOS!F47),3,IF(AND(VALUE(LEFT(PRONÓSTICOS!L47,FIND("-",PRONÓSTICOS!L47)-1))-VALUE(MID(PRONÓSTICOS!L47,FIND("-",PRONÓSTICOS!L47)+1,10))=RESULTADOS!E47-RESULTADOS!F47,VALUE(LEFT(PRONÓSTICOS!L47,FIND("-",PRONÓSTICOS!L47)-1))&lt;&gt;RESULTADOS!E47),2,IF(SIGN(VALUE(LEFT(PRONÓSTICOS!L47,FIND("-",PRONÓSTICOS!L47)-1))-VALUE(MID(PRONÓSTICOS!L47,FIND("-",PRONÓSTICOS!L47)+1,10)))=SIGN(RESULTADOS!E47-RESULTADOS!F47),1,0))))</f>
        <v/>
      </c>
    </row>
    <row r="47">
      <c r="A47" s="12" t="n">
        <v>45</v>
      </c>
      <c r="B47" s="12" t="inlineStr">
        <is>
          <t>Dinamarca vs Escocia</t>
        </is>
      </c>
      <c r="C47" s="12">
        <f>IF(OR(RESULTADOS!E48="",RESULTADOS!E48=0,RESULTADOS!F48=""),"—",IF(AND(VALUE(LEFT(PRONÓSTICOS!C48,FIND("-",PRONÓSTICOS!C48)-1))=RESULTADOS!E48,VALUE(MID(PRONÓSTICOS!C48,FIND("-",PRONÓSTICOS!C48)+1,10))=RESULTADOS!F48),3,IF(AND(VALUE(LEFT(PRONÓSTICOS!C48,FIND("-",PRONÓSTICOS!C48)-1))-VALUE(MID(PRONÓSTICOS!C48,FIND("-",PRONÓSTICOS!C48)+1,10))=RESULTADOS!E48-RESULTADOS!F48,VALUE(LEFT(PRONÓSTICOS!C48,FIND("-",PRONÓSTICOS!C48)-1))&lt;&gt;RESULTADOS!E48),2,IF(SIGN(VALUE(LEFT(PRONÓSTICOS!C48,FIND("-",PRONÓSTICOS!C48)-1))-VALUE(MID(PRONÓSTICOS!C48,FIND("-",PRONÓSTICOS!C48)+1,10)))=SIGN(RESULTADOS!E48-RESULTADOS!F48),1,0))))</f>
        <v/>
      </c>
      <c r="D47" s="12">
        <f>IF(OR(RESULTADOS!E48="",RESULTADOS!E48=0,RESULTADOS!F48=""),"—",IF(AND(VALUE(LEFT(PRONÓSTICOS!D48,FIND("-",PRONÓSTICOS!D48)-1))=RESULTADOS!E48,VALUE(MID(PRONÓSTICOS!D48,FIND("-",PRONÓSTICOS!D48)+1,10))=RESULTADOS!F48),3,IF(AND(VALUE(LEFT(PRONÓSTICOS!D48,FIND("-",PRONÓSTICOS!D48)-1))-VALUE(MID(PRONÓSTICOS!D48,FIND("-",PRONÓSTICOS!D48)+1,10))=RESULTADOS!E48-RESULTADOS!F48,VALUE(LEFT(PRONÓSTICOS!D48,FIND("-",PRONÓSTICOS!D48)-1))&lt;&gt;RESULTADOS!E48),2,IF(SIGN(VALUE(LEFT(PRONÓSTICOS!D48,FIND("-",PRONÓSTICOS!D48)-1))-VALUE(MID(PRONÓSTICOS!D48,FIND("-",PRONÓSTICOS!D48)+1,10)))=SIGN(RESULTADOS!E48-RESULTADOS!F48),1,0))))</f>
        <v/>
      </c>
      <c r="E47" s="12">
        <f>IF(OR(RESULTADOS!E48="",RESULTADOS!E48=0,RESULTADOS!F48=""),"—",IF(AND(VALUE(LEFT(PRONÓSTICOS!E48,FIND("-",PRONÓSTICOS!E48)-1))=RESULTADOS!E48,VALUE(MID(PRONÓSTICOS!E48,FIND("-",PRONÓSTICOS!E48)+1,10))=RESULTADOS!F48),3,IF(AND(VALUE(LEFT(PRONÓSTICOS!E48,FIND("-",PRONÓSTICOS!E48)-1))-VALUE(MID(PRONÓSTICOS!E48,FIND("-",PRONÓSTICOS!E48)+1,10))=RESULTADOS!E48-RESULTADOS!F48,VALUE(LEFT(PRONÓSTICOS!E48,FIND("-",PRONÓSTICOS!E48)-1))&lt;&gt;RESULTADOS!E48),2,IF(SIGN(VALUE(LEFT(PRONÓSTICOS!E48,FIND("-",PRONÓSTICOS!E48)-1))-VALUE(MID(PRONÓSTICOS!E48,FIND("-",PRONÓSTICOS!E48)+1,10)))=SIGN(RESULTADOS!E48-RESULTADOS!F48),1,0))))</f>
        <v/>
      </c>
      <c r="F47" s="12">
        <f>IF(OR(RESULTADOS!E48="",RESULTADOS!E48=0,RESULTADOS!F48=""),"—",IF(AND(VALUE(LEFT(PRONÓSTICOS!F48,FIND("-",PRONÓSTICOS!F48)-1))=RESULTADOS!E48,VALUE(MID(PRONÓSTICOS!F48,FIND("-",PRONÓSTICOS!F48)+1,10))=RESULTADOS!F48),3,IF(AND(VALUE(LEFT(PRONÓSTICOS!F48,FIND("-",PRONÓSTICOS!F48)-1))-VALUE(MID(PRONÓSTICOS!F48,FIND("-",PRONÓSTICOS!F48)+1,10))=RESULTADOS!E48-RESULTADOS!F48,VALUE(LEFT(PRONÓSTICOS!F48,FIND("-",PRONÓSTICOS!F48)-1))&lt;&gt;RESULTADOS!E48),2,IF(SIGN(VALUE(LEFT(PRONÓSTICOS!F48,FIND("-",PRONÓSTICOS!F48)-1))-VALUE(MID(PRONÓSTICOS!F48,FIND("-",PRONÓSTICOS!F48)+1,10)))=SIGN(RESULTADOS!E48-RESULTADOS!F48),1,0))))</f>
        <v/>
      </c>
      <c r="G47" s="12">
        <f>IF(OR(RESULTADOS!E48="",RESULTADOS!E48=0,RESULTADOS!F48=""),"—",IF(AND(VALUE(LEFT(PRONÓSTICOS!G48,FIND("-",PRONÓSTICOS!G48)-1))=RESULTADOS!E48,VALUE(MID(PRONÓSTICOS!G48,FIND("-",PRONÓSTICOS!G48)+1,10))=RESULTADOS!F48),3,IF(AND(VALUE(LEFT(PRONÓSTICOS!G48,FIND("-",PRONÓSTICOS!G48)-1))-VALUE(MID(PRONÓSTICOS!G48,FIND("-",PRONÓSTICOS!G48)+1,10))=RESULTADOS!E48-RESULTADOS!F48,VALUE(LEFT(PRONÓSTICOS!G48,FIND("-",PRONÓSTICOS!G48)-1))&lt;&gt;RESULTADOS!E48),2,IF(SIGN(VALUE(LEFT(PRONÓSTICOS!G48,FIND("-",PRONÓSTICOS!G48)-1))-VALUE(MID(PRONÓSTICOS!G48,FIND("-",PRONÓSTICOS!G48)+1,10)))=SIGN(RESULTADOS!E48-RESULTADOS!F48),1,0))))</f>
        <v/>
      </c>
      <c r="H47" s="12">
        <f>IF(OR(RESULTADOS!E48="",RESULTADOS!E48=0,RESULTADOS!F48=""),"—",IF(AND(VALUE(LEFT(PRONÓSTICOS!H48,FIND("-",PRONÓSTICOS!H48)-1))=RESULTADOS!E48,VALUE(MID(PRONÓSTICOS!H48,FIND("-",PRONÓSTICOS!H48)+1,10))=RESULTADOS!F48),3,IF(AND(VALUE(LEFT(PRONÓSTICOS!H48,FIND("-",PRONÓSTICOS!H48)-1))-VALUE(MID(PRONÓSTICOS!H48,FIND("-",PRONÓSTICOS!H48)+1,10))=RESULTADOS!E48-RESULTADOS!F48,VALUE(LEFT(PRONÓSTICOS!H48,FIND("-",PRONÓSTICOS!H48)-1))&lt;&gt;RESULTADOS!E48),2,IF(SIGN(VALUE(LEFT(PRONÓSTICOS!H48,FIND("-",PRONÓSTICOS!H48)-1))-VALUE(MID(PRONÓSTICOS!H48,FIND("-",PRONÓSTICOS!H48)+1,10)))=SIGN(RESULTADOS!E48-RESULTADOS!F48),1,0))))</f>
        <v/>
      </c>
      <c r="I47" s="12">
        <f>IF(OR(RESULTADOS!E48="",RESULTADOS!E48=0,RESULTADOS!F48=""),"—",IF(AND(VALUE(LEFT(PRONÓSTICOS!I48,FIND("-",PRONÓSTICOS!I48)-1))=RESULTADOS!E48,VALUE(MID(PRONÓSTICOS!I48,FIND("-",PRONÓSTICOS!I48)+1,10))=RESULTADOS!F48),3,IF(AND(VALUE(LEFT(PRONÓSTICOS!I48,FIND("-",PRONÓSTICOS!I48)-1))-VALUE(MID(PRONÓSTICOS!I48,FIND("-",PRONÓSTICOS!I48)+1,10))=RESULTADOS!E48-RESULTADOS!F48,VALUE(LEFT(PRONÓSTICOS!I48,FIND("-",PRONÓSTICOS!I48)-1))&lt;&gt;RESULTADOS!E48),2,IF(SIGN(VALUE(LEFT(PRONÓSTICOS!I48,FIND("-",PRONÓSTICOS!I48)-1))-VALUE(MID(PRONÓSTICOS!I48,FIND("-",PRONÓSTICOS!I48)+1,10)))=SIGN(RESULTADOS!E48-RESULTADOS!F48),1,0))))</f>
        <v/>
      </c>
      <c r="J47" s="12">
        <f>IF(OR(RESULTADOS!E48="",RESULTADOS!E48=0,RESULTADOS!F48=""),"—",IF(AND(VALUE(LEFT(PRONÓSTICOS!J48,FIND("-",PRONÓSTICOS!J48)-1))=RESULTADOS!E48,VALUE(MID(PRONÓSTICOS!J48,FIND("-",PRONÓSTICOS!J48)+1,10))=RESULTADOS!F48),3,IF(AND(VALUE(LEFT(PRONÓSTICOS!J48,FIND("-",PRONÓSTICOS!J48)-1))-VALUE(MID(PRONÓSTICOS!J48,FIND("-",PRONÓSTICOS!J48)+1,10))=RESULTADOS!E48-RESULTADOS!F48,VALUE(LEFT(PRONÓSTICOS!J48,FIND("-",PRONÓSTICOS!J48)-1))&lt;&gt;RESULTADOS!E48),2,IF(SIGN(VALUE(LEFT(PRONÓSTICOS!J48,FIND("-",PRONÓSTICOS!J48)-1))-VALUE(MID(PRONÓSTICOS!J48,FIND("-",PRONÓSTICOS!J48)+1,10)))=SIGN(RESULTADOS!E48-RESULTADOS!F48),1,0))))</f>
        <v/>
      </c>
      <c r="K47" s="12">
        <f>IF(OR(RESULTADOS!E48="",RESULTADOS!E48=0,RESULTADOS!F48=""),"—",IF(AND(VALUE(LEFT(PRONÓSTICOS!K48,FIND("-",PRONÓSTICOS!K48)-1))=RESULTADOS!E48,VALUE(MID(PRONÓSTICOS!K48,FIND("-",PRONÓSTICOS!K48)+1,10))=RESULTADOS!F48),3,IF(AND(VALUE(LEFT(PRONÓSTICOS!K48,FIND("-",PRONÓSTICOS!K48)-1))-VALUE(MID(PRONÓSTICOS!K48,FIND("-",PRONÓSTICOS!K48)+1,10))=RESULTADOS!E48-RESULTADOS!F48,VALUE(LEFT(PRONÓSTICOS!K48,FIND("-",PRONÓSTICOS!K48)-1))&lt;&gt;RESULTADOS!E48),2,IF(SIGN(VALUE(LEFT(PRONÓSTICOS!K48,FIND("-",PRONÓSTICOS!K48)-1))-VALUE(MID(PRONÓSTICOS!K48,FIND("-",PRONÓSTICOS!K48)+1,10)))=SIGN(RESULTADOS!E48-RESULTADOS!F48),1,0))))</f>
        <v/>
      </c>
      <c r="L47" s="12">
        <f>IF(OR(RESULTADOS!E48="",RESULTADOS!E48=0,RESULTADOS!F48=""),"—",IF(AND(VALUE(LEFT(PRONÓSTICOS!L48,FIND("-",PRONÓSTICOS!L48)-1))=RESULTADOS!E48,VALUE(MID(PRONÓSTICOS!L48,FIND("-",PRONÓSTICOS!L48)+1,10))=RESULTADOS!F48),3,IF(AND(VALUE(LEFT(PRONÓSTICOS!L48,FIND("-",PRONÓSTICOS!L48)-1))-VALUE(MID(PRONÓSTICOS!L48,FIND("-",PRONÓSTICOS!L48)+1,10))=RESULTADOS!E48-RESULTADOS!F48,VALUE(LEFT(PRONÓSTICOS!L48,FIND("-",PRONÓSTICOS!L48)-1))&lt;&gt;RESULTADOS!E48),2,IF(SIGN(VALUE(LEFT(PRONÓSTICOS!L48,FIND("-",PRONÓSTICOS!L48)-1))-VALUE(MID(PRONÓSTICOS!L48,FIND("-",PRONÓSTICOS!L48)+1,10)))=SIGN(RESULTADOS!E48-RESULTADOS!F48),1,0))))</f>
        <v/>
      </c>
    </row>
    <row r="48">
      <c r="A48" s="70" t="n">
        <v>46</v>
      </c>
      <c r="B48" s="70" t="inlineStr">
        <is>
          <t>Venezuela vs Perú</t>
        </is>
      </c>
      <c r="C48" s="70">
        <f>IF(OR(RESULTADOS!E49="",RESULTADOS!E49=0,RESULTADOS!F49=""),"—",IF(AND(VALUE(LEFT(PRONÓSTICOS!C49,FIND("-",PRONÓSTICOS!C49)-1))=RESULTADOS!E49,VALUE(MID(PRONÓSTICOS!C49,FIND("-",PRONÓSTICOS!C49)+1,10))=RESULTADOS!F49),3,IF(AND(VALUE(LEFT(PRONÓSTICOS!C49,FIND("-",PRONÓSTICOS!C49)-1))-VALUE(MID(PRONÓSTICOS!C49,FIND("-",PRONÓSTICOS!C49)+1,10))=RESULTADOS!E49-RESULTADOS!F49,VALUE(LEFT(PRONÓSTICOS!C49,FIND("-",PRONÓSTICOS!C49)-1))&lt;&gt;RESULTADOS!E49),2,IF(SIGN(VALUE(LEFT(PRONÓSTICOS!C49,FIND("-",PRONÓSTICOS!C49)-1))-VALUE(MID(PRONÓSTICOS!C49,FIND("-",PRONÓSTICOS!C49)+1,10)))=SIGN(RESULTADOS!E49-RESULTADOS!F49),1,0))))</f>
        <v/>
      </c>
      <c r="D48" s="70">
        <f>IF(OR(RESULTADOS!E49="",RESULTADOS!E49=0,RESULTADOS!F49=""),"—",IF(AND(VALUE(LEFT(PRONÓSTICOS!D49,FIND("-",PRONÓSTICOS!D49)-1))=RESULTADOS!E49,VALUE(MID(PRONÓSTICOS!D49,FIND("-",PRONÓSTICOS!D49)+1,10))=RESULTADOS!F49),3,IF(AND(VALUE(LEFT(PRONÓSTICOS!D49,FIND("-",PRONÓSTICOS!D49)-1))-VALUE(MID(PRONÓSTICOS!D49,FIND("-",PRONÓSTICOS!D49)+1,10))=RESULTADOS!E49-RESULTADOS!F49,VALUE(LEFT(PRONÓSTICOS!D49,FIND("-",PRONÓSTICOS!D49)-1))&lt;&gt;RESULTADOS!E49),2,IF(SIGN(VALUE(LEFT(PRONÓSTICOS!D49,FIND("-",PRONÓSTICOS!D49)-1))-VALUE(MID(PRONÓSTICOS!D49,FIND("-",PRONÓSTICOS!D49)+1,10)))=SIGN(RESULTADOS!E49-RESULTADOS!F49),1,0))))</f>
        <v/>
      </c>
      <c r="E48" s="70">
        <f>IF(OR(RESULTADOS!E49="",RESULTADOS!E49=0,RESULTADOS!F49=""),"—",IF(AND(VALUE(LEFT(PRONÓSTICOS!E49,FIND("-",PRONÓSTICOS!E49)-1))=RESULTADOS!E49,VALUE(MID(PRONÓSTICOS!E49,FIND("-",PRONÓSTICOS!E49)+1,10))=RESULTADOS!F49),3,IF(AND(VALUE(LEFT(PRONÓSTICOS!E49,FIND("-",PRONÓSTICOS!E49)-1))-VALUE(MID(PRONÓSTICOS!E49,FIND("-",PRONÓSTICOS!E49)+1,10))=RESULTADOS!E49-RESULTADOS!F49,VALUE(LEFT(PRONÓSTICOS!E49,FIND("-",PRONÓSTICOS!E49)-1))&lt;&gt;RESULTADOS!E49),2,IF(SIGN(VALUE(LEFT(PRONÓSTICOS!E49,FIND("-",PRONÓSTICOS!E49)-1))-VALUE(MID(PRONÓSTICOS!E49,FIND("-",PRONÓSTICOS!E49)+1,10)))=SIGN(RESULTADOS!E49-RESULTADOS!F49),1,0))))</f>
        <v/>
      </c>
      <c r="F48" s="70">
        <f>IF(OR(RESULTADOS!E49="",RESULTADOS!E49=0,RESULTADOS!F49=""),"—",IF(AND(VALUE(LEFT(PRONÓSTICOS!F49,FIND("-",PRONÓSTICOS!F49)-1))=RESULTADOS!E49,VALUE(MID(PRONÓSTICOS!F49,FIND("-",PRONÓSTICOS!F49)+1,10))=RESULTADOS!F49),3,IF(AND(VALUE(LEFT(PRONÓSTICOS!F49,FIND("-",PRONÓSTICOS!F49)-1))-VALUE(MID(PRONÓSTICOS!F49,FIND("-",PRONÓSTICOS!F49)+1,10))=RESULTADOS!E49-RESULTADOS!F49,VALUE(LEFT(PRONÓSTICOS!F49,FIND("-",PRONÓSTICOS!F49)-1))&lt;&gt;RESULTADOS!E49),2,IF(SIGN(VALUE(LEFT(PRONÓSTICOS!F49,FIND("-",PRONÓSTICOS!F49)-1))-VALUE(MID(PRONÓSTICOS!F49,FIND("-",PRONÓSTICOS!F49)+1,10)))=SIGN(RESULTADOS!E49-RESULTADOS!F49),1,0))))</f>
        <v/>
      </c>
      <c r="G48" s="70">
        <f>IF(OR(RESULTADOS!E49="",RESULTADOS!E49=0,RESULTADOS!F49=""),"—",IF(AND(VALUE(LEFT(PRONÓSTICOS!G49,FIND("-",PRONÓSTICOS!G49)-1))=RESULTADOS!E49,VALUE(MID(PRONÓSTICOS!G49,FIND("-",PRONÓSTICOS!G49)+1,10))=RESULTADOS!F49),3,IF(AND(VALUE(LEFT(PRONÓSTICOS!G49,FIND("-",PRONÓSTICOS!G49)-1))-VALUE(MID(PRONÓSTICOS!G49,FIND("-",PRONÓSTICOS!G49)+1,10))=RESULTADOS!E49-RESULTADOS!F49,VALUE(LEFT(PRONÓSTICOS!G49,FIND("-",PRONÓSTICOS!G49)-1))&lt;&gt;RESULTADOS!E49),2,IF(SIGN(VALUE(LEFT(PRONÓSTICOS!G49,FIND("-",PRONÓSTICOS!G49)-1))-VALUE(MID(PRONÓSTICOS!G49,FIND("-",PRONÓSTICOS!G49)+1,10)))=SIGN(RESULTADOS!E49-RESULTADOS!F49),1,0))))</f>
        <v/>
      </c>
      <c r="H48" s="70">
        <f>IF(OR(RESULTADOS!E49="",RESULTADOS!E49=0,RESULTADOS!F49=""),"—",IF(AND(VALUE(LEFT(PRONÓSTICOS!H49,FIND("-",PRONÓSTICOS!H49)-1))=RESULTADOS!E49,VALUE(MID(PRONÓSTICOS!H49,FIND("-",PRONÓSTICOS!H49)+1,10))=RESULTADOS!F49),3,IF(AND(VALUE(LEFT(PRONÓSTICOS!H49,FIND("-",PRONÓSTICOS!H49)-1))-VALUE(MID(PRONÓSTICOS!H49,FIND("-",PRONÓSTICOS!H49)+1,10))=RESULTADOS!E49-RESULTADOS!F49,VALUE(LEFT(PRONÓSTICOS!H49,FIND("-",PRONÓSTICOS!H49)-1))&lt;&gt;RESULTADOS!E49),2,IF(SIGN(VALUE(LEFT(PRONÓSTICOS!H49,FIND("-",PRONÓSTICOS!H49)-1))-VALUE(MID(PRONÓSTICOS!H49,FIND("-",PRONÓSTICOS!H49)+1,10)))=SIGN(RESULTADOS!E49-RESULTADOS!F49),1,0))))</f>
        <v/>
      </c>
      <c r="I48" s="70">
        <f>IF(OR(RESULTADOS!E49="",RESULTADOS!E49=0,RESULTADOS!F49=""),"—",IF(AND(VALUE(LEFT(PRONÓSTICOS!I49,FIND("-",PRONÓSTICOS!I49)-1))=RESULTADOS!E49,VALUE(MID(PRONÓSTICOS!I49,FIND("-",PRONÓSTICOS!I49)+1,10))=RESULTADOS!F49),3,IF(AND(VALUE(LEFT(PRONÓSTICOS!I49,FIND("-",PRONÓSTICOS!I49)-1))-VALUE(MID(PRONÓSTICOS!I49,FIND("-",PRONÓSTICOS!I49)+1,10))=RESULTADOS!E49-RESULTADOS!F49,VALUE(LEFT(PRONÓSTICOS!I49,FIND("-",PRONÓSTICOS!I49)-1))&lt;&gt;RESULTADOS!E49),2,IF(SIGN(VALUE(LEFT(PRONÓSTICOS!I49,FIND("-",PRONÓSTICOS!I49)-1))-VALUE(MID(PRONÓSTICOS!I49,FIND("-",PRONÓSTICOS!I49)+1,10)))=SIGN(RESULTADOS!E49-RESULTADOS!F49),1,0))))</f>
        <v/>
      </c>
      <c r="J48" s="70">
        <f>IF(OR(RESULTADOS!E49="",RESULTADOS!E49=0,RESULTADOS!F49=""),"—",IF(AND(VALUE(LEFT(PRONÓSTICOS!J49,FIND("-",PRONÓSTICOS!J49)-1))=RESULTADOS!E49,VALUE(MID(PRONÓSTICOS!J49,FIND("-",PRONÓSTICOS!J49)+1,10))=RESULTADOS!F49),3,IF(AND(VALUE(LEFT(PRONÓSTICOS!J49,FIND("-",PRONÓSTICOS!J49)-1))-VALUE(MID(PRONÓSTICOS!J49,FIND("-",PRONÓSTICOS!J49)+1,10))=RESULTADOS!E49-RESULTADOS!F49,VALUE(LEFT(PRONÓSTICOS!J49,FIND("-",PRONÓSTICOS!J49)-1))&lt;&gt;RESULTADOS!E49),2,IF(SIGN(VALUE(LEFT(PRONÓSTICOS!J49,FIND("-",PRONÓSTICOS!J49)-1))-VALUE(MID(PRONÓSTICOS!J49,FIND("-",PRONÓSTICOS!J49)+1,10)))=SIGN(RESULTADOS!E49-RESULTADOS!F49),1,0))))</f>
        <v/>
      </c>
      <c r="K48" s="70">
        <f>IF(OR(RESULTADOS!E49="",RESULTADOS!E49=0,RESULTADOS!F49=""),"—",IF(AND(VALUE(LEFT(PRONÓSTICOS!K49,FIND("-",PRONÓSTICOS!K49)-1))=RESULTADOS!E49,VALUE(MID(PRONÓSTICOS!K49,FIND("-",PRONÓSTICOS!K49)+1,10))=RESULTADOS!F49),3,IF(AND(VALUE(LEFT(PRONÓSTICOS!K49,FIND("-",PRONÓSTICOS!K49)-1))-VALUE(MID(PRONÓSTICOS!K49,FIND("-",PRONÓSTICOS!K49)+1,10))=RESULTADOS!E49-RESULTADOS!F49,VALUE(LEFT(PRONÓSTICOS!K49,FIND("-",PRONÓSTICOS!K49)-1))&lt;&gt;RESULTADOS!E49),2,IF(SIGN(VALUE(LEFT(PRONÓSTICOS!K49,FIND("-",PRONÓSTICOS!K49)-1))-VALUE(MID(PRONÓSTICOS!K49,FIND("-",PRONÓSTICOS!K49)+1,10)))=SIGN(RESULTADOS!E49-RESULTADOS!F49),1,0))))</f>
        <v/>
      </c>
      <c r="L48" s="70">
        <f>IF(OR(RESULTADOS!E49="",RESULTADOS!E49=0,RESULTADOS!F49=""),"—",IF(AND(VALUE(LEFT(PRONÓSTICOS!L49,FIND("-",PRONÓSTICOS!L49)-1))=RESULTADOS!E49,VALUE(MID(PRONÓSTICOS!L49,FIND("-",PRONÓSTICOS!L49)+1,10))=RESULTADOS!F49),3,IF(AND(VALUE(LEFT(PRONÓSTICOS!L49,FIND("-",PRONÓSTICOS!L49)-1))-VALUE(MID(PRONÓSTICOS!L49,FIND("-",PRONÓSTICOS!L49)+1,10))=RESULTADOS!E49-RESULTADOS!F49,VALUE(LEFT(PRONÓSTICOS!L49,FIND("-",PRONÓSTICOS!L49)-1))&lt;&gt;RESULTADOS!E49),2,IF(SIGN(VALUE(LEFT(PRONÓSTICOS!L49,FIND("-",PRONÓSTICOS!L49)-1))-VALUE(MID(PRONÓSTICOS!L49,FIND("-",PRONÓSTICOS!L49)+1,10)))=SIGN(RESULTADOS!E49-RESULTADOS!F49),1,0))))</f>
        <v/>
      </c>
    </row>
    <row r="49">
      <c r="A49" s="12" t="n">
        <v>47</v>
      </c>
      <c r="B49" s="12" t="inlineStr">
        <is>
          <t>Bolivia vs Venezuela</t>
        </is>
      </c>
      <c r="C49" s="12">
        <f>IF(OR(RESULTADOS!E50="",RESULTADOS!E50=0,RESULTADOS!F50=""),"—",IF(AND(VALUE(LEFT(PRONÓSTICOS!C50,FIND("-",PRONÓSTICOS!C50)-1))=RESULTADOS!E50,VALUE(MID(PRONÓSTICOS!C50,FIND("-",PRONÓSTICOS!C50)+1,10))=RESULTADOS!F50),3,IF(AND(VALUE(LEFT(PRONÓSTICOS!C50,FIND("-",PRONÓSTICOS!C50)-1))-VALUE(MID(PRONÓSTICOS!C50,FIND("-",PRONÓSTICOS!C50)+1,10))=RESULTADOS!E50-RESULTADOS!F50,VALUE(LEFT(PRONÓSTICOS!C50,FIND("-",PRONÓSTICOS!C50)-1))&lt;&gt;RESULTADOS!E50),2,IF(SIGN(VALUE(LEFT(PRONÓSTICOS!C50,FIND("-",PRONÓSTICOS!C50)-1))-VALUE(MID(PRONÓSTICOS!C50,FIND("-",PRONÓSTICOS!C50)+1,10)))=SIGN(RESULTADOS!E50-RESULTADOS!F50),1,0))))</f>
        <v/>
      </c>
      <c r="D49" s="12">
        <f>IF(OR(RESULTADOS!E50="",RESULTADOS!E50=0,RESULTADOS!F50=""),"—",IF(AND(VALUE(LEFT(PRONÓSTICOS!D50,FIND("-",PRONÓSTICOS!D50)-1))=RESULTADOS!E50,VALUE(MID(PRONÓSTICOS!D50,FIND("-",PRONÓSTICOS!D50)+1,10))=RESULTADOS!F50),3,IF(AND(VALUE(LEFT(PRONÓSTICOS!D50,FIND("-",PRONÓSTICOS!D50)-1))-VALUE(MID(PRONÓSTICOS!D50,FIND("-",PRONÓSTICOS!D50)+1,10))=RESULTADOS!E50-RESULTADOS!F50,VALUE(LEFT(PRONÓSTICOS!D50,FIND("-",PRONÓSTICOS!D50)-1))&lt;&gt;RESULTADOS!E50),2,IF(SIGN(VALUE(LEFT(PRONÓSTICOS!D50,FIND("-",PRONÓSTICOS!D50)-1))-VALUE(MID(PRONÓSTICOS!D50,FIND("-",PRONÓSTICOS!D50)+1,10)))=SIGN(RESULTADOS!E50-RESULTADOS!F50),1,0))))</f>
        <v/>
      </c>
      <c r="E49" s="12">
        <f>IF(OR(RESULTADOS!E50="",RESULTADOS!E50=0,RESULTADOS!F50=""),"—",IF(AND(VALUE(LEFT(PRONÓSTICOS!E50,FIND("-",PRONÓSTICOS!E50)-1))=RESULTADOS!E50,VALUE(MID(PRONÓSTICOS!E50,FIND("-",PRONÓSTICOS!E50)+1,10))=RESULTADOS!F50),3,IF(AND(VALUE(LEFT(PRONÓSTICOS!E50,FIND("-",PRONÓSTICOS!E50)-1))-VALUE(MID(PRONÓSTICOS!E50,FIND("-",PRONÓSTICOS!E50)+1,10))=RESULTADOS!E50-RESULTADOS!F50,VALUE(LEFT(PRONÓSTICOS!E50,FIND("-",PRONÓSTICOS!E50)-1))&lt;&gt;RESULTADOS!E50),2,IF(SIGN(VALUE(LEFT(PRONÓSTICOS!E50,FIND("-",PRONÓSTICOS!E50)-1))-VALUE(MID(PRONÓSTICOS!E50,FIND("-",PRONÓSTICOS!E50)+1,10)))=SIGN(RESULTADOS!E50-RESULTADOS!F50),1,0))))</f>
        <v/>
      </c>
      <c r="F49" s="12">
        <f>IF(OR(RESULTADOS!E50="",RESULTADOS!E50=0,RESULTADOS!F50=""),"—",IF(AND(VALUE(LEFT(PRONÓSTICOS!F50,FIND("-",PRONÓSTICOS!F50)-1))=RESULTADOS!E50,VALUE(MID(PRONÓSTICOS!F50,FIND("-",PRONÓSTICOS!F50)+1,10))=RESULTADOS!F50),3,IF(AND(VALUE(LEFT(PRONÓSTICOS!F50,FIND("-",PRONÓSTICOS!F50)-1))-VALUE(MID(PRONÓSTICOS!F50,FIND("-",PRONÓSTICOS!F50)+1,10))=RESULTADOS!E50-RESULTADOS!F50,VALUE(LEFT(PRONÓSTICOS!F50,FIND("-",PRONÓSTICOS!F50)-1))&lt;&gt;RESULTADOS!E50),2,IF(SIGN(VALUE(LEFT(PRONÓSTICOS!F50,FIND("-",PRONÓSTICOS!F50)-1))-VALUE(MID(PRONÓSTICOS!F50,FIND("-",PRONÓSTICOS!F50)+1,10)))=SIGN(RESULTADOS!E50-RESULTADOS!F50),1,0))))</f>
        <v/>
      </c>
      <c r="G49" s="12">
        <f>IF(OR(RESULTADOS!E50="",RESULTADOS!E50=0,RESULTADOS!F50=""),"—",IF(AND(VALUE(LEFT(PRONÓSTICOS!G50,FIND("-",PRONÓSTICOS!G50)-1))=RESULTADOS!E50,VALUE(MID(PRONÓSTICOS!G50,FIND("-",PRONÓSTICOS!G50)+1,10))=RESULTADOS!F50),3,IF(AND(VALUE(LEFT(PRONÓSTICOS!G50,FIND("-",PRONÓSTICOS!G50)-1))-VALUE(MID(PRONÓSTICOS!G50,FIND("-",PRONÓSTICOS!G50)+1,10))=RESULTADOS!E50-RESULTADOS!F50,VALUE(LEFT(PRONÓSTICOS!G50,FIND("-",PRONÓSTICOS!G50)-1))&lt;&gt;RESULTADOS!E50),2,IF(SIGN(VALUE(LEFT(PRONÓSTICOS!G50,FIND("-",PRONÓSTICOS!G50)-1))-VALUE(MID(PRONÓSTICOS!G50,FIND("-",PRONÓSTICOS!G50)+1,10)))=SIGN(RESULTADOS!E50-RESULTADOS!F50),1,0))))</f>
        <v/>
      </c>
      <c r="H49" s="12">
        <f>IF(OR(RESULTADOS!E50="",RESULTADOS!E50=0,RESULTADOS!F50=""),"—",IF(AND(VALUE(LEFT(PRONÓSTICOS!H50,FIND("-",PRONÓSTICOS!H50)-1))=RESULTADOS!E50,VALUE(MID(PRONÓSTICOS!H50,FIND("-",PRONÓSTICOS!H50)+1,10))=RESULTADOS!F50),3,IF(AND(VALUE(LEFT(PRONÓSTICOS!H50,FIND("-",PRONÓSTICOS!H50)-1))-VALUE(MID(PRONÓSTICOS!H50,FIND("-",PRONÓSTICOS!H50)+1,10))=RESULTADOS!E50-RESULTADOS!F50,VALUE(LEFT(PRONÓSTICOS!H50,FIND("-",PRONÓSTICOS!H50)-1))&lt;&gt;RESULTADOS!E50),2,IF(SIGN(VALUE(LEFT(PRONÓSTICOS!H50,FIND("-",PRONÓSTICOS!H50)-1))-VALUE(MID(PRONÓSTICOS!H50,FIND("-",PRONÓSTICOS!H50)+1,10)))=SIGN(RESULTADOS!E50-RESULTADOS!F50),1,0))))</f>
        <v/>
      </c>
      <c r="I49" s="12">
        <f>IF(OR(RESULTADOS!E50="",RESULTADOS!E50=0,RESULTADOS!F50=""),"—",IF(AND(VALUE(LEFT(PRONÓSTICOS!I50,FIND("-",PRONÓSTICOS!I50)-1))=RESULTADOS!E50,VALUE(MID(PRONÓSTICOS!I50,FIND("-",PRONÓSTICOS!I50)+1,10))=RESULTADOS!F50),3,IF(AND(VALUE(LEFT(PRONÓSTICOS!I50,FIND("-",PRONÓSTICOS!I50)-1))-VALUE(MID(PRONÓSTICOS!I50,FIND("-",PRONÓSTICOS!I50)+1,10))=RESULTADOS!E50-RESULTADOS!F50,VALUE(LEFT(PRONÓSTICOS!I50,FIND("-",PRONÓSTICOS!I50)-1))&lt;&gt;RESULTADOS!E50),2,IF(SIGN(VALUE(LEFT(PRONÓSTICOS!I50,FIND("-",PRONÓSTICOS!I50)-1))-VALUE(MID(PRONÓSTICOS!I50,FIND("-",PRONÓSTICOS!I50)+1,10)))=SIGN(RESULTADOS!E50-RESULTADOS!F50),1,0))))</f>
        <v/>
      </c>
      <c r="J49" s="12">
        <f>IF(OR(RESULTADOS!E50="",RESULTADOS!E50=0,RESULTADOS!F50=""),"—",IF(AND(VALUE(LEFT(PRONÓSTICOS!J50,FIND("-",PRONÓSTICOS!J50)-1))=RESULTADOS!E50,VALUE(MID(PRONÓSTICOS!J50,FIND("-",PRONÓSTICOS!J50)+1,10))=RESULTADOS!F50),3,IF(AND(VALUE(LEFT(PRONÓSTICOS!J50,FIND("-",PRONÓSTICOS!J50)-1))-VALUE(MID(PRONÓSTICOS!J50,FIND("-",PRONÓSTICOS!J50)+1,10))=RESULTADOS!E50-RESULTADOS!F50,VALUE(LEFT(PRONÓSTICOS!J50,FIND("-",PRONÓSTICOS!J50)-1))&lt;&gt;RESULTADOS!E50),2,IF(SIGN(VALUE(LEFT(PRONÓSTICOS!J50,FIND("-",PRONÓSTICOS!J50)-1))-VALUE(MID(PRONÓSTICOS!J50,FIND("-",PRONÓSTICOS!J50)+1,10)))=SIGN(RESULTADOS!E50-RESULTADOS!F50),1,0))))</f>
        <v/>
      </c>
      <c r="K49" s="12">
        <f>IF(OR(RESULTADOS!E50="",RESULTADOS!E50=0,RESULTADOS!F50=""),"—",IF(AND(VALUE(LEFT(PRONÓSTICOS!K50,FIND("-",PRONÓSTICOS!K50)-1))=RESULTADOS!E50,VALUE(MID(PRONÓSTICOS!K50,FIND("-",PRONÓSTICOS!K50)+1,10))=RESULTADOS!F50),3,IF(AND(VALUE(LEFT(PRONÓSTICOS!K50,FIND("-",PRONÓSTICOS!K50)-1))-VALUE(MID(PRONÓSTICOS!K50,FIND("-",PRONÓSTICOS!K50)+1,10))=RESULTADOS!E50-RESULTADOS!F50,VALUE(LEFT(PRONÓSTICOS!K50,FIND("-",PRONÓSTICOS!K50)-1))&lt;&gt;RESULTADOS!E50),2,IF(SIGN(VALUE(LEFT(PRONÓSTICOS!K50,FIND("-",PRONÓSTICOS!K50)-1))-VALUE(MID(PRONÓSTICOS!K50,FIND("-",PRONÓSTICOS!K50)+1,10)))=SIGN(RESULTADOS!E50-RESULTADOS!F50),1,0))))</f>
        <v/>
      </c>
      <c r="L49" s="12">
        <f>IF(OR(RESULTADOS!E50="",RESULTADOS!E50=0,RESULTADOS!F50=""),"—",IF(AND(VALUE(LEFT(PRONÓSTICOS!L50,FIND("-",PRONÓSTICOS!L50)-1))=RESULTADOS!E50,VALUE(MID(PRONÓSTICOS!L50,FIND("-",PRONÓSTICOS!L50)+1,10))=RESULTADOS!F50),3,IF(AND(VALUE(LEFT(PRONÓSTICOS!L50,FIND("-",PRONÓSTICOS!L50)-1))-VALUE(MID(PRONÓSTICOS!L50,FIND("-",PRONÓSTICOS!L50)+1,10))=RESULTADOS!E50-RESULTADOS!F50,VALUE(LEFT(PRONÓSTICOS!L50,FIND("-",PRONÓSTICOS!L50)-1))&lt;&gt;RESULTADOS!E50),2,IF(SIGN(VALUE(LEFT(PRONÓSTICOS!L50,FIND("-",PRONÓSTICOS!L50)-1))-VALUE(MID(PRONÓSTICOS!L50,FIND("-",PRONÓSTICOS!L50)+1,10)))=SIGN(RESULTADOS!E50-RESULTADOS!F50),1,0))))</f>
        <v/>
      </c>
    </row>
    <row r="50">
      <c r="A50" s="70" t="n">
        <v>48</v>
      </c>
      <c r="B50" s="70" t="inlineStr">
        <is>
          <t>Perú vs Bolivia</t>
        </is>
      </c>
      <c r="C50" s="70">
        <f>IF(OR(RESULTADOS!E51="",RESULTADOS!E51=0,RESULTADOS!F51=""),"—",IF(AND(VALUE(LEFT(PRONÓSTICOS!C51,FIND("-",PRONÓSTICOS!C51)-1))=RESULTADOS!E51,VALUE(MID(PRONÓSTICOS!C51,FIND("-",PRONÓSTICOS!C51)+1,10))=RESULTADOS!F51),3,IF(AND(VALUE(LEFT(PRONÓSTICOS!C51,FIND("-",PRONÓSTICOS!C51)-1))-VALUE(MID(PRONÓSTICOS!C51,FIND("-",PRONÓSTICOS!C51)+1,10))=RESULTADOS!E51-RESULTADOS!F51,VALUE(LEFT(PRONÓSTICOS!C51,FIND("-",PRONÓSTICOS!C51)-1))&lt;&gt;RESULTADOS!E51),2,IF(SIGN(VALUE(LEFT(PRONÓSTICOS!C51,FIND("-",PRONÓSTICOS!C51)-1))-VALUE(MID(PRONÓSTICOS!C51,FIND("-",PRONÓSTICOS!C51)+1,10)))=SIGN(RESULTADOS!E51-RESULTADOS!F51),1,0))))</f>
        <v/>
      </c>
      <c r="D50" s="70">
        <f>IF(OR(RESULTADOS!E51="",RESULTADOS!E51=0,RESULTADOS!F51=""),"—",IF(AND(VALUE(LEFT(PRONÓSTICOS!D51,FIND("-",PRONÓSTICOS!D51)-1))=RESULTADOS!E51,VALUE(MID(PRONÓSTICOS!D51,FIND("-",PRONÓSTICOS!D51)+1,10))=RESULTADOS!F51),3,IF(AND(VALUE(LEFT(PRONÓSTICOS!D51,FIND("-",PRONÓSTICOS!D51)-1))-VALUE(MID(PRONÓSTICOS!D51,FIND("-",PRONÓSTICOS!D51)+1,10))=RESULTADOS!E51-RESULTADOS!F51,VALUE(LEFT(PRONÓSTICOS!D51,FIND("-",PRONÓSTICOS!D51)-1))&lt;&gt;RESULTADOS!E51),2,IF(SIGN(VALUE(LEFT(PRONÓSTICOS!D51,FIND("-",PRONÓSTICOS!D51)-1))-VALUE(MID(PRONÓSTICOS!D51,FIND("-",PRONÓSTICOS!D51)+1,10)))=SIGN(RESULTADOS!E51-RESULTADOS!F51),1,0))))</f>
        <v/>
      </c>
      <c r="E50" s="70">
        <f>IF(OR(RESULTADOS!E51="",RESULTADOS!E51=0,RESULTADOS!F51=""),"—",IF(AND(VALUE(LEFT(PRONÓSTICOS!E51,FIND("-",PRONÓSTICOS!E51)-1))=RESULTADOS!E51,VALUE(MID(PRONÓSTICOS!E51,FIND("-",PRONÓSTICOS!E51)+1,10))=RESULTADOS!F51),3,IF(AND(VALUE(LEFT(PRONÓSTICOS!E51,FIND("-",PRONÓSTICOS!E51)-1))-VALUE(MID(PRONÓSTICOS!E51,FIND("-",PRONÓSTICOS!E51)+1,10))=RESULTADOS!E51-RESULTADOS!F51,VALUE(LEFT(PRONÓSTICOS!E51,FIND("-",PRONÓSTICOS!E51)-1))&lt;&gt;RESULTADOS!E51),2,IF(SIGN(VALUE(LEFT(PRONÓSTICOS!E51,FIND("-",PRONÓSTICOS!E51)-1))-VALUE(MID(PRONÓSTICOS!E51,FIND("-",PRONÓSTICOS!E51)+1,10)))=SIGN(RESULTADOS!E51-RESULTADOS!F51),1,0))))</f>
        <v/>
      </c>
      <c r="F50" s="70">
        <f>IF(OR(RESULTADOS!E51="",RESULTADOS!E51=0,RESULTADOS!F51=""),"—",IF(AND(VALUE(LEFT(PRONÓSTICOS!F51,FIND("-",PRONÓSTICOS!F51)-1))=RESULTADOS!E51,VALUE(MID(PRONÓSTICOS!F51,FIND("-",PRONÓSTICOS!F51)+1,10))=RESULTADOS!F51),3,IF(AND(VALUE(LEFT(PRONÓSTICOS!F51,FIND("-",PRONÓSTICOS!F51)-1))-VALUE(MID(PRONÓSTICOS!F51,FIND("-",PRONÓSTICOS!F51)+1,10))=RESULTADOS!E51-RESULTADOS!F51,VALUE(LEFT(PRONÓSTICOS!F51,FIND("-",PRONÓSTICOS!F51)-1))&lt;&gt;RESULTADOS!E51),2,IF(SIGN(VALUE(LEFT(PRONÓSTICOS!F51,FIND("-",PRONÓSTICOS!F51)-1))-VALUE(MID(PRONÓSTICOS!F51,FIND("-",PRONÓSTICOS!F51)+1,10)))=SIGN(RESULTADOS!E51-RESULTADOS!F51),1,0))))</f>
        <v/>
      </c>
      <c r="G50" s="70">
        <f>IF(OR(RESULTADOS!E51="",RESULTADOS!E51=0,RESULTADOS!F51=""),"—",IF(AND(VALUE(LEFT(PRONÓSTICOS!G51,FIND("-",PRONÓSTICOS!G51)-1))=RESULTADOS!E51,VALUE(MID(PRONÓSTICOS!G51,FIND("-",PRONÓSTICOS!G51)+1,10))=RESULTADOS!F51),3,IF(AND(VALUE(LEFT(PRONÓSTICOS!G51,FIND("-",PRONÓSTICOS!G51)-1))-VALUE(MID(PRONÓSTICOS!G51,FIND("-",PRONÓSTICOS!G51)+1,10))=RESULTADOS!E51-RESULTADOS!F51,VALUE(LEFT(PRONÓSTICOS!G51,FIND("-",PRONÓSTICOS!G51)-1))&lt;&gt;RESULTADOS!E51),2,IF(SIGN(VALUE(LEFT(PRONÓSTICOS!G51,FIND("-",PRONÓSTICOS!G51)-1))-VALUE(MID(PRONÓSTICOS!G51,FIND("-",PRONÓSTICOS!G51)+1,10)))=SIGN(RESULTADOS!E51-RESULTADOS!F51),1,0))))</f>
        <v/>
      </c>
      <c r="H50" s="70">
        <f>IF(OR(RESULTADOS!E51="",RESULTADOS!E51=0,RESULTADOS!F51=""),"—",IF(AND(VALUE(LEFT(PRONÓSTICOS!H51,FIND("-",PRONÓSTICOS!H51)-1))=RESULTADOS!E51,VALUE(MID(PRONÓSTICOS!H51,FIND("-",PRONÓSTICOS!H51)+1,10))=RESULTADOS!F51),3,IF(AND(VALUE(LEFT(PRONÓSTICOS!H51,FIND("-",PRONÓSTICOS!H51)-1))-VALUE(MID(PRONÓSTICOS!H51,FIND("-",PRONÓSTICOS!H51)+1,10))=RESULTADOS!E51-RESULTADOS!F51,VALUE(LEFT(PRONÓSTICOS!H51,FIND("-",PRONÓSTICOS!H51)-1))&lt;&gt;RESULTADOS!E51),2,IF(SIGN(VALUE(LEFT(PRONÓSTICOS!H51,FIND("-",PRONÓSTICOS!H51)-1))-VALUE(MID(PRONÓSTICOS!H51,FIND("-",PRONÓSTICOS!H51)+1,10)))=SIGN(RESULTADOS!E51-RESULTADOS!F51),1,0))))</f>
        <v/>
      </c>
      <c r="I50" s="70">
        <f>IF(OR(RESULTADOS!E51="",RESULTADOS!E51=0,RESULTADOS!F51=""),"—",IF(AND(VALUE(LEFT(PRONÓSTICOS!I51,FIND("-",PRONÓSTICOS!I51)-1))=RESULTADOS!E51,VALUE(MID(PRONÓSTICOS!I51,FIND("-",PRONÓSTICOS!I51)+1,10))=RESULTADOS!F51),3,IF(AND(VALUE(LEFT(PRONÓSTICOS!I51,FIND("-",PRONÓSTICOS!I51)-1))-VALUE(MID(PRONÓSTICOS!I51,FIND("-",PRONÓSTICOS!I51)+1,10))=RESULTADOS!E51-RESULTADOS!F51,VALUE(LEFT(PRONÓSTICOS!I51,FIND("-",PRONÓSTICOS!I51)-1))&lt;&gt;RESULTADOS!E51),2,IF(SIGN(VALUE(LEFT(PRONÓSTICOS!I51,FIND("-",PRONÓSTICOS!I51)-1))-VALUE(MID(PRONÓSTICOS!I51,FIND("-",PRONÓSTICOS!I51)+1,10)))=SIGN(RESULTADOS!E51-RESULTADOS!F51),1,0))))</f>
        <v/>
      </c>
      <c r="J50" s="70">
        <f>IF(OR(RESULTADOS!E51="",RESULTADOS!E51=0,RESULTADOS!F51=""),"—",IF(AND(VALUE(LEFT(PRONÓSTICOS!J51,FIND("-",PRONÓSTICOS!J51)-1))=RESULTADOS!E51,VALUE(MID(PRONÓSTICOS!J51,FIND("-",PRONÓSTICOS!J51)+1,10))=RESULTADOS!F51),3,IF(AND(VALUE(LEFT(PRONÓSTICOS!J51,FIND("-",PRONÓSTICOS!J51)-1))-VALUE(MID(PRONÓSTICOS!J51,FIND("-",PRONÓSTICOS!J51)+1,10))=RESULTADOS!E51-RESULTADOS!F51,VALUE(LEFT(PRONÓSTICOS!J51,FIND("-",PRONÓSTICOS!J51)-1))&lt;&gt;RESULTADOS!E51),2,IF(SIGN(VALUE(LEFT(PRONÓSTICOS!J51,FIND("-",PRONÓSTICOS!J51)-1))-VALUE(MID(PRONÓSTICOS!J51,FIND("-",PRONÓSTICOS!J51)+1,10)))=SIGN(RESULTADOS!E51-RESULTADOS!F51),1,0))))</f>
        <v/>
      </c>
      <c r="K50" s="70">
        <f>IF(OR(RESULTADOS!E51="",RESULTADOS!E51=0,RESULTADOS!F51=""),"—",IF(AND(VALUE(LEFT(PRONÓSTICOS!K51,FIND("-",PRONÓSTICOS!K51)-1))=RESULTADOS!E51,VALUE(MID(PRONÓSTICOS!K51,FIND("-",PRONÓSTICOS!K51)+1,10))=RESULTADOS!F51),3,IF(AND(VALUE(LEFT(PRONÓSTICOS!K51,FIND("-",PRONÓSTICOS!K51)-1))-VALUE(MID(PRONÓSTICOS!K51,FIND("-",PRONÓSTICOS!K51)+1,10))=RESULTADOS!E51-RESULTADOS!F51,VALUE(LEFT(PRONÓSTICOS!K51,FIND("-",PRONÓSTICOS!K51)-1))&lt;&gt;RESULTADOS!E51),2,IF(SIGN(VALUE(LEFT(PRONÓSTICOS!K51,FIND("-",PRONÓSTICOS!K51)-1))-VALUE(MID(PRONÓSTICOS!K51,FIND("-",PRONÓSTICOS!K51)+1,10)))=SIGN(RESULTADOS!E51-RESULTADOS!F51),1,0))))</f>
        <v/>
      </c>
      <c r="L50" s="70">
        <f>IF(OR(RESULTADOS!E51="",RESULTADOS!E51=0,RESULTADOS!F51=""),"—",IF(AND(VALUE(LEFT(PRONÓSTICOS!L51,FIND("-",PRONÓSTICOS!L51)-1))=RESULTADOS!E51,VALUE(MID(PRONÓSTICOS!L51,FIND("-",PRONÓSTICOS!L51)+1,10))=RESULTADOS!F51),3,IF(AND(VALUE(LEFT(PRONÓSTICOS!L51,FIND("-",PRONÓSTICOS!L51)-1))-VALUE(MID(PRONÓSTICOS!L51,FIND("-",PRONÓSTICOS!L51)+1,10))=RESULTADOS!E51-RESULTADOS!F51,VALUE(LEFT(PRONÓSTICOS!L51,FIND("-",PRONÓSTICOS!L51)-1))&lt;&gt;RESULTADOS!E51),2,IF(SIGN(VALUE(LEFT(PRONÓSTICOS!L51,FIND("-",PRONÓSTICOS!L51)-1))-VALUE(MID(PRONÓSTICOS!L51,FIND("-",PRONÓSTICOS!L51)+1,10)))=SIGN(RESULTADOS!E51-RESULTADOS!F51),1,0))))</f>
        <v/>
      </c>
    </row>
  </sheetData>
  <mergeCells count="1">
    <mergeCell ref="A1:M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</cols>
  <sheetData>
    <row r="1" ht="44" customHeight="1">
      <c r="A1" s="71" t="inlineStr">
        <is>
          <t>🏆  TABLA DE POSICIONES — PENCA MUNDIAL 2026</t>
        </is>
      </c>
    </row>
    <row r="2" ht="28" customHeight="1">
      <c r="A2" s="72" t="inlineStr">
        <is>
          <t>POSICIÓN</t>
        </is>
      </c>
      <c r="B2" s="72" t="inlineStr">
        <is>
          <t>PARTICIPANTE</t>
        </is>
      </c>
      <c r="C2" s="72" t="inlineStr">
        <is>
          <t>PUNTOS</t>
        </is>
      </c>
      <c r="D2" s="72" t="inlineStr">
        <is>
          <t>EXACTOS</t>
        </is>
      </c>
      <c r="E2" s="72" t="inlineStr">
        <is>
          <t>GANADORES</t>
        </is>
      </c>
      <c r="F2" s="72" t="inlineStr">
        <is>
          <t>PARTIDOS</t>
        </is>
      </c>
      <c r="G2" s="72" t="inlineStr">
        <is>
          <t>% ACIERTO</t>
        </is>
      </c>
    </row>
    <row r="3" ht="28" customHeight="1">
      <c r="A3" s="73">
        <f>RANK(C3,C$3:C$12,0)</f>
        <v/>
      </c>
      <c r="B3" s="74" t="inlineStr">
        <is>
          <t>Ana García</t>
        </is>
      </c>
      <c r="C3" s="73">
        <f>SUMIF(PUNTAJES!C3:PUNTAJES!C51,"&lt;&gt;—")</f>
        <v/>
      </c>
      <c r="D3" s="73">
        <f>COUNTIF(PUNTAJES!C3:PUNTAJES!C51,3)</f>
        <v/>
      </c>
      <c r="E3" s="73">
        <f>COUNTIF(PUNTAJES!C3:PUNTAJES!C51,1)</f>
        <v/>
      </c>
      <c r="F3" s="73">
        <f>COUNTIF(PUNTAJES!C3:PUNTAJES!C51,"&lt;&gt;—")</f>
        <v/>
      </c>
      <c r="G3" s="73">
        <f>IF(F3=0,0,ROUND((COUNTIF(PUNTAJES!C3:PUNTAJES!C51,"&gt;0")/F3)*100,1))</f>
        <v/>
      </c>
    </row>
    <row r="4" ht="22" customHeight="1">
      <c r="A4" s="75">
        <f>RANK(C4,C$3:C$12,0)</f>
        <v/>
      </c>
      <c r="B4" s="76" t="inlineStr">
        <is>
          <t>Bruno Pérez</t>
        </is>
      </c>
      <c r="C4" s="77">
        <f>SUMIF(PUNTAJES!D3:PUNTAJES!D51,"&lt;&gt;—")</f>
        <v/>
      </c>
      <c r="D4" s="75">
        <f>COUNTIF(PUNTAJES!D3:PUNTAJES!D51,3)</f>
        <v/>
      </c>
      <c r="E4" s="75">
        <f>COUNTIF(PUNTAJES!D3:PUNTAJES!D51,1)</f>
        <v/>
      </c>
      <c r="F4" s="75">
        <f>COUNTIF(PUNTAJES!D3:PUNTAJES!D51,"&lt;&gt;—")</f>
        <v/>
      </c>
      <c r="G4" s="75">
        <f>IF(F4=0,0,ROUND((COUNTIF(PUNTAJES!D3:PUNTAJES!D51,"&gt;0")/F4)*100,1))</f>
        <v/>
      </c>
    </row>
    <row r="5" ht="22" customHeight="1">
      <c r="A5" s="78">
        <f>RANK(C5,C$3:C$12,0)</f>
        <v/>
      </c>
      <c r="B5" s="79" t="inlineStr">
        <is>
          <t>Carla López</t>
        </is>
      </c>
      <c r="C5" s="80">
        <f>SUMIF(PUNTAJES!E3:PUNTAJES!E51,"&lt;&gt;—")</f>
        <v/>
      </c>
      <c r="D5" s="78">
        <f>COUNTIF(PUNTAJES!E3:PUNTAJES!E51,3)</f>
        <v/>
      </c>
      <c r="E5" s="78">
        <f>COUNTIF(PUNTAJES!E3:PUNTAJES!E51,1)</f>
        <v/>
      </c>
      <c r="F5" s="78">
        <f>COUNTIF(PUNTAJES!E3:PUNTAJES!E51,"&lt;&gt;—")</f>
        <v/>
      </c>
      <c r="G5" s="78">
        <f>IF(F5=0,0,ROUND((COUNTIF(PUNTAJES!E3:PUNTAJES!E51,"&gt;0")/F5)*100,1))</f>
        <v/>
      </c>
    </row>
    <row r="6" ht="22" customHeight="1">
      <c r="A6" s="75">
        <f>RANK(C6,C$3:C$12,0)</f>
        <v/>
      </c>
      <c r="B6" s="76" t="inlineStr">
        <is>
          <t>Diego M.</t>
        </is>
      </c>
      <c r="C6" s="77">
        <f>SUMIF(PUNTAJES!F3:PUNTAJES!F51,"&lt;&gt;—")</f>
        <v/>
      </c>
      <c r="D6" s="75">
        <f>COUNTIF(PUNTAJES!F3:PUNTAJES!F51,3)</f>
        <v/>
      </c>
      <c r="E6" s="75">
        <f>COUNTIF(PUNTAJES!F3:PUNTAJES!F51,1)</f>
        <v/>
      </c>
      <c r="F6" s="75">
        <f>COUNTIF(PUNTAJES!F3:PUNTAJES!F51,"&lt;&gt;—")</f>
        <v/>
      </c>
      <c r="G6" s="75">
        <f>IF(F6=0,0,ROUND((COUNTIF(PUNTAJES!F3:PUNTAJES!F51,"&gt;0")/F6)*100,1))</f>
        <v/>
      </c>
    </row>
    <row r="7" ht="22" customHeight="1">
      <c r="A7" s="78">
        <f>RANK(C7,C$3:C$12,0)</f>
        <v/>
      </c>
      <c r="B7" s="79" t="inlineStr">
        <is>
          <t>Elena R.</t>
        </is>
      </c>
      <c r="C7" s="80">
        <f>SUMIF(PUNTAJES!G3:PUNTAJES!G51,"&lt;&gt;—")</f>
        <v/>
      </c>
      <c r="D7" s="78">
        <f>COUNTIF(PUNTAJES!G3:PUNTAJES!G51,3)</f>
        <v/>
      </c>
      <c r="E7" s="78">
        <f>COUNTIF(PUNTAJES!G3:PUNTAJES!G51,1)</f>
        <v/>
      </c>
      <c r="F7" s="78">
        <f>COUNTIF(PUNTAJES!G3:PUNTAJES!G51,"&lt;&gt;—")</f>
        <v/>
      </c>
      <c r="G7" s="78">
        <f>IF(F7=0,0,ROUND((COUNTIF(PUNTAJES!G3:PUNTAJES!G51,"&gt;0")/F7)*100,1))</f>
        <v/>
      </c>
    </row>
    <row r="8" ht="22" customHeight="1">
      <c r="A8" s="75">
        <f>RANK(C8,C$3:C$12,0)</f>
        <v/>
      </c>
      <c r="B8" s="76" t="inlineStr">
        <is>
          <t>Felipe S.</t>
        </is>
      </c>
      <c r="C8" s="77">
        <f>SUMIF(PUNTAJES!H3:PUNTAJES!H51,"&lt;&gt;—")</f>
        <v/>
      </c>
      <c r="D8" s="75">
        <f>COUNTIF(PUNTAJES!H3:PUNTAJES!H51,3)</f>
        <v/>
      </c>
      <c r="E8" s="75">
        <f>COUNTIF(PUNTAJES!H3:PUNTAJES!H51,1)</f>
        <v/>
      </c>
      <c r="F8" s="75">
        <f>COUNTIF(PUNTAJES!H3:PUNTAJES!H51,"&lt;&gt;—")</f>
        <v/>
      </c>
      <c r="G8" s="75">
        <f>IF(F8=0,0,ROUND((COUNTIF(PUNTAJES!H3:PUNTAJES!H51,"&gt;0")/F8)*100,1))</f>
        <v/>
      </c>
    </row>
    <row r="9" ht="22" customHeight="1">
      <c r="A9" s="78">
        <f>RANK(C9,C$3:C$12,0)</f>
        <v/>
      </c>
      <c r="B9" s="79" t="inlineStr">
        <is>
          <t>Gabriela T.</t>
        </is>
      </c>
      <c r="C9" s="80">
        <f>SUMIF(PUNTAJES!I3:PUNTAJES!I51,"&lt;&gt;—")</f>
        <v/>
      </c>
      <c r="D9" s="78">
        <f>COUNTIF(PUNTAJES!I3:PUNTAJES!I51,3)</f>
        <v/>
      </c>
      <c r="E9" s="78">
        <f>COUNTIF(PUNTAJES!I3:PUNTAJES!I51,1)</f>
        <v/>
      </c>
      <c r="F9" s="78">
        <f>COUNTIF(PUNTAJES!I3:PUNTAJES!I51,"&lt;&gt;—")</f>
        <v/>
      </c>
      <c r="G9" s="78">
        <f>IF(F9=0,0,ROUND((COUNTIF(PUNTAJES!I3:PUNTAJES!I51,"&gt;0")/F9)*100,1))</f>
        <v/>
      </c>
    </row>
    <row r="10" ht="22" customHeight="1">
      <c r="A10" s="75">
        <f>RANK(C10,C$3:C$12,0)</f>
        <v/>
      </c>
      <c r="B10" s="76" t="inlineStr">
        <is>
          <t>Hernán V.</t>
        </is>
      </c>
      <c r="C10" s="77">
        <f>SUMIF(PUNTAJES!J3:PUNTAJES!J51,"&lt;&gt;—")</f>
        <v/>
      </c>
      <c r="D10" s="75">
        <f>COUNTIF(PUNTAJES!J3:PUNTAJES!J51,3)</f>
        <v/>
      </c>
      <c r="E10" s="75">
        <f>COUNTIF(PUNTAJES!J3:PUNTAJES!J51,1)</f>
        <v/>
      </c>
      <c r="F10" s="75">
        <f>COUNTIF(PUNTAJES!J3:PUNTAJES!J51,"&lt;&gt;—")</f>
        <v/>
      </c>
      <c r="G10" s="75">
        <f>IF(F10=0,0,ROUND((COUNTIF(PUNTAJES!J3:PUNTAJES!J51,"&gt;0")/F10)*100,1))</f>
        <v/>
      </c>
    </row>
    <row r="11" ht="22" customHeight="1">
      <c r="A11" s="78">
        <f>RANK(C11,C$3:C$12,0)</f>
        <v/>
      </c>
      <c r="B11" s="79" t="inlineStr">
        <is>
          <t>Isabel W.</t>
        </is>
      </c>
      <c r="C11" s="80">
        <f>SUMIF(PUNTAJES!K3:PUNTAJES!K51,"&lt;&gt;—")</f>
        <v/>
      </c>
      <c r="D11" s="78">
        <f>COUNTIF(PUNTAJES!K3:PUNTAJES!K51,3)</f>
        <v/>
      </c>
      <c r="E11" s="78">
        <f>COUNTIF(PUNTAJES!K3:PUNTAJES!K51,1)</f>
        <v/>
      </c>
      <c r="F11" s="78">
        <f>COUNTIF(PUNTAJES!K3:PUNTAJES!K51,"&lt;&gt;—")</f>
        <v/>
      </c>
      <c r="G11" s="78">
        <f>IF(F11=0,0,ROUND((COUNTIF(PUNTAJES!K3:PUNTAJES!K51,"&gt;0")/F11)*100,1))</f>
        <v/>
      </c>
    </row>
    <row r="12" ht="22" customHeight="1">
      <c r="A12" s="75">
        <f>RANK(C12,C$3:C$12,0)</f>
        <v/>
      </c>
      <c r="B12" s="76" t="inlineStr">
        <is>
          <t>Juan X.</t>
        </is>
      </c>
      <c r="C12" s="77">
        <f>SUMIF(PUNTAJES!L3:PUNTAJES!L51,"&lt;&gt;—")</f>
        <v/>
      </c>
      <c r="D12" s="75">
        <f>COUNTIF(PUNTAJES!L3:PUNTAJES!L51,3)</f>
        <v/>
      </c>
      <c r="E12" s="75">
        <f>COUNTIF(PUNTAJES!L3:PUNTAJES!L51,1)</f>
        <v/>
      </c>
      <c r="F12" s="75">
        <f>COUNTIF(PUNTAJES!L3:PUNTAJES!L51,"&lt;&gt;—")</f>
        <v/>
      </c>
      <c r="G12" s="75">
        <f>IF(F12=0,0,ROUND((COUNTIF(PUNTAJES!L3:PUNTAJES!L51,"&gt;0")/F12)*100,1))</f>
        <v/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2026-06-09T12:59:36Z</dcterms:created>
  <dcterms:modified xmlns:dcterms="http://purl.org/dc/terms/" xmlns:xsi="http://www.w3.org/2001/XMLSchema-instance" xsi:type="dcterms:W3CDTF">2026-06-09T12:59:36Z</dcterms:modified>
</cp:coreProperties>
</file>